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forcasting model\artefacts\"/>
    </mc:Choice>
  </mc:AlternateContent>
  <xr:revisionPtr revIDLastSave="0" documentId="13_ncr:1_{AE44FBD1-999C-4862-A463-314E99B1EEFD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README" sheetId="1" r:id="rId1"/>
    <sheet name="Summary" sheetId="2" r:id="rId2"/>
    <sheet name="S01" sheetId="3" r:id="rId3"/>
    <sheet name="S02" sheetId="4" r:id="rId4"/>
    <sheet name="S03" sheetId="5" r:id="rId5"/>
    <sheet name="S04" sheetId="6" r:id="rId6"/>
    <sheet name="S05" sheetId="7" r:id="rId7"/>
    <sheet name="S06" sheetId="8" r:id="rId8"/>
    <sheet name="S07" sheetId="9" r:id="rId9"/>
    <sheet name="S08" sheetId="10" r:id="rId10"/>
    <sheet name="S09" sheetId="11" r:id="rId11"/>
    <sheet name="S10" sheetId="12" r:id="rId12"/>
    <sheet name="S1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3" l="1"/>
  <c r="H50" i="13" s="1"/>
  <c r="B50" i="13"/>
  <c r="G49" i="13"/>
  <c r="H49" i="13" s="1"/>
  <c r="B49" i="13"/>
  <c r="H48" i="13"/>
  <c r="G48" i="13"/>
  <c r="B48" i="13"/>
  <c r="G47" i="13"/>
  <c r="H47" i="13" s="1"/>
  <c r="B47" i="13"/>
  <c r="G46" i="13"/>
  <c r="H46" i="13" s="1"/>
  <c r="B46" i="13"/>
  <c r="G45" i="13"/>
  <c r="H45" i="13" s="1"/>
  <c r="B45" i="13"/>
  <c r="G44" i="13"/>
  <c r="H44" i="13" s="1"/>
  <c r="B44" i="13"/>
  <c r="G43" i="13"/>
  <c r="H43" i="13" s="1"/>
  <c r="B43" i="13"/>
  <c r="G42" i="13"/>
  <c r="H42" i="13" s="1"/>
  <c r="B42" i="13"/>
  <c r="G41" i="13"/>
  <c r="H41" i="13" s="1"/>
  <c r="B41" i="13"/>
  <c r="H40" i="13"/>
  <c r="G40" i="13"/>
  <c r="B40" i="13"/>
  <c r="G39" i="13"/>
  <c r="H39" i="13" s="1"/>
  <c r="B39" i="13"/>
  <c r="G38" i="13"/>
  <c r="H38" i="13" s="1"/>
  <c r="B38" i="13"/>
  <c r="G37" i="13"/>
  <c r="H37" i="13" s="1"/>
  <c r="B37" i="13"/>
  <c r="H36" i="13"/>
  <c r="G36" i="13"/>
  <c r="B36" i="13"/>
  <c r="G35" i="13"/>
  <c r="H35" i="13" s="1"/>
  <c r="B35" i="13"/>
  <c r="G34" i="13"/>
  <c r="H34" i="13" s="1"/>
  <c r="B34" i="13"/>
  <c r="G33" i="13"/>
  <c r="H33" i="13" s="1"/>
  <c r="B33" i="13"/>
  <c r="G32" i="13"/>
  <c r="H32" i="13" s="1"/>
  <c r="B32" i="13"/>
  <c r="G31" i="13"/>
  <c r="H31" i="13" s="1"/>
  <c r="B31" i="13"/>
  <c r="H30" i="13"/>
  <c r="G30" i="13"/>
  <c r="B30" i="13"/>
  <c r="G29" i="13"/>
  <c r="H29" i="13" s="1"/>
  <c r="B29" i="13"/>
  <c r="G28" i="13"/>
  <c r="H28" i="13" s="1"/>
  <c r="B28" i="13"/>
  <c r="G27" i="13"/>
  <c r="H27" i="13" s="1"/>
  <c r="B27" i="13"/>
  <c r="G26" i="13"/>
  <c r="H26" i="13" s="1"/>
  <c r="B26" i="13"/>
  <c r="G25" i="13"/>
  <c r="H25" i="13" s="1"/>
  <c r="B25" i="13"/>
  <c r="G24" i="13"/>
  <c r="H24" i="13" s="1"/>
  <c r="B24" i="13"/>
  <c r="G23" i="13"/>
  <c r="H23" i="13" s="1"/>
  <c r="B23" i="13"/>
  <c r="H22" i="13"/>
  <c r="G22" i="13"/>
  <c r="B22" i="13"/>
  <c r="G21" i="13"/>
  <c r="H21" i="13" s="1"/>
  <c r="B21" i="13"/>
  <c r="E15" i="13"/>
  <c r="I15" i="13" s="1"/>
  <c r="E14" i="13"/>
  <c r="L12" i="2" s="1"/>
  <c r="E6" i="13"/>
  <c r="E5" i="13"/>
  <c r="E4" i="13"/>
  <c r="G50" i="12"/>
  <c r="H50" i="12" s="1"/>
  <c r="C50" i="12"/>
  <c r="B50" i="12"/>
  <c r="G49" i="12"/>
  <c r="H49" i="12" s="1"/>
  <c r="B49" i="12"/>
  <c r="G48" i="12"/>
  <c r="H48" i="12" s="1"/>
  <c r="C48" i="12"/>
  <c r="B48" i="12"/>
  <c r="G47" i="12"/>
  <c r="H47" i="12" s="1"/>
  <c r="C47" i="12"/>
  <c r="B47" i="12"/>
  <c r="G46" i="12"/>
  <c r="H46" i="12" s="1"/>
  <c r="C46" i="12"/>
  <c r="B46" i="12"/>
  <c r="G45" i="12"/>
  <c r="H45" i="12" s="1"/>
  <c r="B45" i="12"/>
  <c r="G44" i="12"/>
  <c r="H44" i="12" s="1"/>
  <c r="B44" i="12"/>
  <c r="G43" i="12"/>
  <c r="H43" i="12" s="1"/>
  <c r="C43" i="12"/>
  <c r="B43" i="12"/>
  <c r="G42" i="12"/>
  <c r="H42" i="12" s="1"/>
  <c r="B42" i="12"/>
  <c r="G41" i="12"/>
  <c r="H41" i="12" s="1"/>
  <c r="B41" i="12"/>
  <c r="G40" i="12"/>
  <c r="H40" i="12" s="1"/>
  <c r="C40" i="12"/>
  <c r="B40" i="12"/>
  <c r="G39" i="12"/>
  <c r="H39" i="12" s="1"/>
  <c r="C39" i="12"/>
  <c r="B39" i="12"/>
  <c r="G38" i="12"/>
  <c r="H38" i="12" s="1"/>
  <c r="B38" i="12"/>
  <c r="G37" i="12"/>
  <c r="H37" i="12" s="1"/>
  <c r="B37" i="12"/>
  <c r="G36" i="12"/>
  <c r="H36" i="12" s="1"/>
  <c r="C36" i="12"/>
  <c r="B36" i="12"/>
  <c r="G35" i="12"/>
  <c r="H35" i="12" s="1"/>
  <c r="C35" i="12"/>
  <c r="B35" i="12"/>
  <c r="G34" i="12"/>
  <c r="H34" i="12" s="1"/>
  <c r="C34" i="12"/>
  <c r="B34" i="12"/>
  <c r="G33" i="12"/>
  <c r="H33" i="12" s="1"/>
  <c r="C33" i="12"/>
  <c r="B33" i="12"/>
  <c r="G32" i="12"/>
  <c r="H32" i="12" s="1"/>
  <c r="B32" i="12"/>
  <c r="G31" i="12"/>
  <c r="H31" i="12" s="1"/>
  <c r="C31" i="12"/>
  <c r="B31" i="12"/>
  <c r="G30" i="12"/>
  <c r="H30" i="12" s="1"/>
  <c r="C30" i="12"/>
  <c r="B30" i="12"/>
  <c r="G29" i="12"/>
  <c r="H29" i="12" s="1"/>
  <c r="B29" i="12"/>
  <c r="G28" i="12"/>
  <c r="H28" i="12" s="1"/>
  <c r="B28" i="12"/>
  <c r="G27" i="12"/>
  <c r="H27" i="12" s="1"/>
  <c r="C27" i="12"/>
  <c r="B27" i="12"/>
  <c r="G26" i="12"/>
  <c r="H26" i="12" s="1"/>
  <c r="C26" i="12"/>
  <c r="B26" i="12"/>
  <c r="G25" i="12"/>
  <c r="H25" i="12" s="1"/>
  <c r="B25" i="12"/>
  <c r="G24" i="12"/>
  <c r="H24" i="12" s="1"/>
  <c r="C24" i="12"/>
  <c r="B24" i="12"/>
  <c r="G23" i="12"/>
  <c r="H23" i="12" s="1"/>
  <c r="I25" i="12" s="1"/>
  <c r="C23" i="12"/>
  <c r="B23" i="12"/>
  <c r="G22" i="12"/>
  <c r="H22" i="12" s="1"/>
  <c r="C22" i="12"/>
  <c r="E16" i="12" s="1"/>
  <c r="I16" i="12" s="1"/>
  <c r="B22" i="12"/>
  <c r="G21" i="12"/>
  <c r="H21" i="12" s="1"/>
  <c r="C21" i="12"/>
  <c r="B21" i="12"/>
  <c r="E15" i="12"/>
  <c r="I15" i="12" s="1"/>
  <c r="E14" i="12"/>
  <c r="J14" i="12" s="1"/>
  <c r="E7" i="12"/>
  <c r="D29" i="12" s="1"/>
  <c r="E29" i="12" s="1"/>
  <c r="E6" i="12"/>
  <c r="E5" i="12"/>
  <c r="E4" i="12"/>
  <c r="C41" i="12" s="1"/>
  <c r="G50" i="11"/>
  <c r="H50" i="11" s="1"/>
  <c r="B50" i="11"/>
  <c r="G49" i="11"/>
  <c r="H49" i="11" s="1"/>
  <c r="B49" i="11"/>
  <c r="H48" i="11"/>
  <c r="G48" i="11"/>
  <c r="B48" i="11"/>
  <c r="G47" i="11"/>
  <c r="H47" i="11" s="1"/>
  <c r="B47" i="11"/>
  <c r="G46" i="11"/>
  <c r="H46" i="11" s="1"/>
  <c r="B46" i="11"/>
  <c r="G45" i="11"/>
  <c r="H45" i="11" s="1"/>
  <c r="B45" i="11"/>
  <c r="G44" i="11"/>
  <c r="H44" i="11" s="1"/>
  <c r="B44" i="11"/>
  <c r="G43" i="11"/>
  <c r="H43" i="11" s="1"/>
  <c r="B43" i="11"/>
  <c r="G42" i="11"/>
  <c r="H42" i="11" s="1"/>
  <c r="B42" i="11"/>
  <c r="H41" i="11"/>
  <c r="G41" i="11"/>
  <c r="B41" i="11"/>
  <c r="H40" i="11"/>
  <c r="G40" i="11"/>
  <c r="B40" i="11"/>
  <c r="G39" i="11"/>
  <c r="H39" i="11" s="1"/>
  <c r="B39" i="11"/>
  <c r="G38" i="11"/>
  <c r="H38" i="11" s="1"/>
  <c r="B38" i="11"/>
  <c r="G37" i="11"/>
  <c r="H37" i="11" s="1"/>
  <c r="B37" i="11"/>
  <c r="G36" i="11"/>
  <c r="H36" i="11" s="1"/>
  <c r="B36" i="11"/>
  <c r="G35" i="11"/>
  <c r="H35" i="11" s="1"/>
  <c r="B35" i="11"/>
  <c r="G34" i="11"/>
  <c r="H34" i="11" s="1"/>
  <c r="B34" i="11"/>
  <c r="G33" i="11"/>
  <c r="H33" i="11" s="1"/>
  <c r="B33" i="11"/>
  <c r="G32" i="11"/>
  <c r="H32" i="11" s="1"/>
  <c r="B32" i="11"/>
  <c r="G31" i="11"/>
  <c r="H31" i="11" s="1"/>
  <c r="B31" i="11"/>
  <c r="G30" i="11"/>
  <c r="H30" i="11" s="1"/>
  <c r="B30" i="11"/>
  <c r="G29" i="11"/>
  <c r="H29" i="11" s="1"/>
  <c r="B29" i="11"/>
  <c r="G28" i="11"/>
  <c r="H28" i="11" s="1"/>
  <c r="B28" i="11"/>
  <c r="G27" i="11"/>
  <c r="H27" i="11" s="1"/>
  <c r="B27" i="11"/>
  <c r="H26" i="11"/>
  <c r="G26" i="11"/>
  <c r="B26" i="11"/>
  <c r="G25" i="11"/>
  <c r="H25" i="11" s="1"/>
  <c r="B25" i="11"/>
  <c r="G24" i="11"/>
  <c r="H24" i="11" s="1"/>
  <c r="B24" i="11"/>
  <c r="G23" i="11"/>
  <c r="H23" i="11" s="1"/>
  <c r="B23" i="11"/>
  <c r="G22" i="11"/>
  <c r="H22" i="11" s="1"/>
  <c r="B22" i="11"/>
  <c r="G21" i="11"/>
  <c r="H21" i="11" s="1"/>
  <c r="I21" i="11" s="1"/>
  <c r="B21" i="11"/>
  <c r="E15" i="11"/>
  <c r="I15" i="11" s="1"/>
  <c r="E14" i="11"/>
  <c r="E6" i="11"/>
  <c r="E5" i="11"/>
  <c r="E4" i="11"/>
  <c r="C50" i="11" s="1"/>
  <c r="G50" i="10"/>
  <c r="H50" i="10" s="1"/>
  <c r="B50" i="10"/>
  <c r="G49" i="10"/>
  <c r="H49" i="10" s="1"/>
  <c r="B49" i="10"/>
  <c r="G48" i="10"/>
  <c r="H48" i="10" s="1"/>
  <c r="B48" i="10"/>
  <c r="G47" i="10"/>
  <c r="H47" i="10" s="1"/>
  <c r="B47" i="10"/>
  <c r="G46" i="10"/>
  <c r="H46" i="10" s="1"/>
  <c r="B46" i="10"/>
  <c r="G45" i="10"/>
  <c r="H45" i="10" s="1"/>
  <c r="B45" i="10"/>
  <c r="H44" i="10"/>
  <c r="G44" i="10"/>
  <c r="B44" i="10"/>
  <c r="G43" i="10"/>
  <c r="H43" i="10" s="1"/>
  <c r="B43" i="10"/>
  <c r="G42" i="10"/>
  <c r="H42" i="10" s="1"/>
  <c r="B42" i="10"/>
  <c r="G41" i="10"/>
  <c r="H41" i="10" s="1"/>
  <c r="B41" i="10"/>
  <c r="H40" i="10"/>
  <c r="G40" i="10"/>
  <c r="B40" i="10"/>
  <c r="G39" i="10"/>
  <c r="H39" i="10" s="1"/>
  <c r="B39" i="10"/>
  <c r="G38" i="10"/>
  <c r="H38" i="10" s="1"/>
  <c r="B38" i="10"/>
  <c r="G37" i="10"/>
  <c r="H37" i="10" s="1"/>
  <c r="B37" i="10"/>
  <c r="G36" i="10"/>
  <c r="H36" i="10" s="1"/>
  <c r="B36" i="10"/>
  <c r="G35" i="10"/>
  <c r="H35" i="10" s="1"/>
  <c r="B35" i="10"/>
  <c r="G34" i="10"/>
  <c r="H34" i="10" s="1"/>
  <c r="B34" i="10"/>
  <c r="H33" i="10"/>
  <c r="G33" i="10"/>
  <c r="B33" i="10"/>
  <c r="G32" i="10"/>
  <c r="H32" i="10" s="1"/>
  <c r="B32" i="10"/>
  <c r="G31" i="10"/>
  <c r="H31" i="10" s="1"/>
  <c r="B31" i="10"/>
  <c r="G30" i="10"/>
  <c r="H30" i="10" s="1"/>
  <c r="B30" i="10"/>
  <c r="G29" i="10"/>
  <c r="H29" i="10" s="1"/>
  <c r="B29" i="10"/>
  <c r="G28" i="10"/>
  <c r="H28" i="10" s="1"/>
  <c r="B28" i="10"/>
  <c r="G27" i="10"/>
  <c r="H27" i="10" s="1"/>
  <c r="B27" i="10"/>
  <c r="G26" i="10"/>
  <c r="H26" i="10" s="1"/>
  <c r="B26" i="10"/>
  <c r="G25" i="10"/>
  <c r="H25" i="10" s="1"/>
  <c r="B25" i="10"/>
  <c r="G24" i="10"/>
  <c r="H24" i="10" s="1"/>
  <c r="B24" i="10"/>
  <c r="G23" i="10"/>
  <c r="H23" i="10" s="1"/>
  <c r="B23" i="10"/>
  <c r="G22" i="10"/>
  <c r="H22" i="10" s="1"/>
  <c r="B22" i="10"/>
  <c r="G21" i="10"/>
  <c r="H21" i="10" s="1"/>
  <c r="B21" i="10"/>
  <c r="E15" i="10"/>
  <c r="I15" i="10" s="1"/>
  <c r="E14" i="10"/>
  <c r="I14" i="10" s="1"/>
  <c r="E6" i="10"/>
  <c r="E5" i="10"/>
  <c r="E4" i="10"/>
  <c r="H50" i="9"/>
  <c r="G50" i="9"/>
  <c r="B50" i="9"/>
  <c r="G49" i="9"/>
  <c r="H49" i="9" s="1"/>
  <c r="B49" i="9"/>
  <c r="H48" i="9"/>
  <c r="G48" i="9"/>
  <c r="B48" i="9"/>
  <c r="G47" i="9"/>
  <c r="H47" i="9" s="1"/>
  <c r="B47" i="9"/>
  <c r="G46" i="9"/>
  <c r="H46" i="9" s="1"/>
  <c r="B46" i="9"/>
  <c r="G45" i="9"/>
  <c r="H45" i="9" s="1"/>
  <c r="B45" i="9"/>
  <c r="G44" i="9"/>
  <c r="H44" i="9" s="1"/>
  <c r="B44" i="9"/>
  <c r="G43" i="9"/>
  <c r="H43" i="9" s="1"/>
  <c r="B43" i="9"/>
  <c r="G42" i="9"/>
  <c r="H42" i="9" s="1"/>
  <c r="B42" i="9"/>
  <c r="H41" i="9"/>
  <c r="G41" i="9"/>
  <c r="B41" i="9"/>
  <c r="G40" i="9"/>
  <c r="H40" i="9" s="1"/>
  <c r="B40" i="9"/>
  <c r="G39" i="9"/>
  <c r="H39" i="9" s="1"/>
  <c r="B39" i="9"/>
  <c r="G38" i="9"/>
  <c r="H38" i="9" s="1"/>
  <c r="B38" i="9"/>
  <c r="H37" i="9"/>
  <c r="G37" i="9"/>
  <c r="B37" i="9"/>
  <c r="G36" i="9"/>
  <c r="H36" i="9" s="1"/>
  <c r="B36" i="9"/>
  <c r="G35" i="9"/>
  <c r="H35" i="9" s="1"/>
  <c r="B35" i="9"/>
  <c r="H34" i="9"/>
  <c r="G34" i="9"/>
  <c r="B34" i="9"/>
  <c r="H33" i="9"/>
  <c r="G33" i="9"/>
  <c r="B33" i="9"/>
  <c r="G32" i="9"/>
  <c r="H32" i="9" s="1"/>
  <c r="B32" i="9"/>
  <c r="H31" i="9"/>
  <c r="G31" i="9"/>
  <c r="B31" i="9"/>
  <c r="G30" i="9"/>
  <c r="H30" i="9" s="1"/>
  <c r="B30" i="9"/>
  <c r="G29" i="9"/>
  <c r="H29" i="9" s="1"/>
  <c r="B29" i="9"/>
  <c r="G28" i="9"/>
  <c r="H28" i="9" s="1"/>
  <c r="B28" i="9"/>
  <c r="G27" i="9"/>
  <c r="H27" i="9" s="1"/>
  <c r="B27" i="9"/>
  <c r="G26" i="9"/>
  <c r="H26" i="9" s="1"/>
  <c r="B26" i="9"/>
  <c r="G25" i="9"/>
  <c r="H25" i="9" s="1"/>
  <c r="B25" i="9"/>
  <c r="H24" i="9"/>
  <c r="G24" i="9"/>
  <c r="B24" i="9"/>
  <c r="G23" i="9"/>
  <c r="H23" i="9" s="1"/>
  <c r="B23" i="9"/>
  <c r="G22" i="9"/>
  <c r="H22" i="9" s="1"/>
  <c r="B22" i="9"/>
  <c r="G21" i="9"/>
  <c r="H21" i="9" s="1"/>
  <c r="B21" i="9"/>
  <c r="I15" i="9"/>
  <c r="E15" i="9"/>
  <c r="E14" i="9"/>
  <c r="I14" i="9" s="1"/>
  <c r="E7" i="9"/>
  <c r="C43" i="9" s="1"/>
  <c r="E6" i="9"/>
  <c r="E5" i="9"/>
  <c r="E4" i="9"/>
  <c r="G50" i="8"/>
  <c r="H50" i="8" s="1"/>
  <c r="B50" i="8"/>
  <c r="G49" i="8"/>
  <c r="H49" i="8" s="1"/>
  <c r="B49" i="8"/>
  <c r="G48" i="8"/>
  <c r="H48" i="8" s="1"/>
  <c r="C48" i="8"/>
  <c r="B48" i="8"/>
  <c r="H47" i="8"/>
  <c r="G47" i="8"/>
  <c r="B47" i="8"/>
  <c r="H46" i="8"/>
  <c r="G46" i="8"/>
  <c r="B46" i="8"/>
  <c r="G45" i="8"/>
  <c r="H45" i="8" s="1"/>
  <c r="B45" i="8"/>
  <c r="H44" i="8"/>
  <c r="G44" i="8"/>
  <c r="B44" i="8"/>
  <c r="G43" i="8"/>
  <c r="H43" i="8" s="1"/>
  <c r="B43" i="8"/>
  <c r="G42" i="8"/>
  <c r="H42" i="8" s="1"/>
  <c r="B42" i="8"/>
  <c r="G41" i="8"/>
  <c r="H41" i="8" s="1"/>
  <c r="B41" i="8"/>
  <c r="G40" i="8"/>
  <c r="H40" i="8" s="1"/>
  <c r="B40" i="8"/>
  <c r="G39" i="8"/>
  <c r="H39" i="8" s="1"/>
  <c r="B39" i="8"/>
  <c r="G38" i="8"/>
  <c r="H38" i="8" s="1"/>
  <c r="B38" i="8"/>
  <c r="G37" i="8"/>
  <c r="H37" i="8" s="1"/>
  <c r="B37" i="8"/>
  <c r="G36" i="8"/>
  <c r="H36" i="8" s="1"/>
  <c r="B36" i="8"/>
  <c r="G35" i="8"/>
  <c r="H35" i="8" s="1"/>
  <c r="B35" i="8"/>
  <c r="G34" i="8"/>
  <c r="H34" i="8" s="1"/>
  <c r="B34" i="8"/>
  <c r="G33" i="8"/>
  <c r="H33" i="8" s="1"/>
  <c r="B33" i="8"/>
  <c r="G32" i="8"/>
  <c r="H32" i="8" s="1"/>
  <c r="B32" i="8"/>
  <c r="H31" i="8"/>
  <c r="G31" i="8"/>
  <c r="B31" i="8"/>
  <c r="H30" i="8"/>
  <c r="G30" i="8"/>
  <c r="B30" i="8"/>
  <c r="G29" i="8"/>
  <c r="H29" i="8" s="1"/>
  <c r="B29" i="8"/>
  <c r="G28" i="8"/>
  <c r="H28" i="8" s="1"/>
  <c r="B28" i="8"/>
  <c r="G27" i="8"/>
  <c r="H27" i="8" s="1"/>
  <c r="B27" i="8"/>
  <c r="G26" i="8"/>
  <c r="H26" i="8" s="1"/>
  <c r="B26" i="8"/>
  <c r="G25" i="8"/>
  <c r="H25" i="8" s="1"/>
  <c r="B25" i="8"/>
  <c r="G24" i="8"/>
  <c r="H24" i="8" s="1"/>
  <c r="B24" i="8"/>
  <c r="G23" i="8"/>
  <c r="H23" i="8" s="1"/>
  <c r="B23" i="8"/>
  <c r="H22" i="8"/>
  <c r="G22" i="8"/>
  <c r="B22" i="8"/>
  <c r="G21" i="8"/>
  <c r="H21" i="8" s="1"/>
  <c r="B21" i="8"/>
  <c r="E15" i="8"/>
  <c r="I15" i="8" s="1"/>
  <c r="E14" i="8"/>
  <c r="I14" i="8" s="1"/>
  <c r="E6" i="8"/>
  <c r="E5" i="8"/>
  <c r="E4" i="8"/>
  <c r="C34" i="8" s="1"/>
  <c r="G50" i="7"/>
  <c r="H50" i="7" s="1"/>
  <c r="B50" i="7"/>
  <c r="G49" i="7"/>
  <c r="H49" i="7" s="1"/>
  <c r="B49" i="7"/>
  <c r="G48" i="7"/>
  <c r="H48" i="7" s="1"/>
  <c r="B48" i="7"/>
  <c r="G47" i="7"/>
  <c r="H47" i="7" s="1"/>
  <c r="C47" i="7"/>
  <c r="B47" i="7"/>
  <c r="G46" i="7"/>
  <c r="H46" i="7" s="1"/>
  <c r="B46" i="7"/>
  <c r="G45" i="7"/>
  <c r="H45" i="7" s="1"/>
  <c r="B45" i="7"/>
  <c r="G44" i="7"/>
  <c r="H44" i="7" s="1"/>
  <c r="B44" i="7"/>
  <c r="G43" i="7"/>
  <c r="H43" i="7" s="1"/>
  <c r="B43" i="7"/>
  <c r="G42" i="7"/>
  <c r="H42" i="7" s="1"/>
  <c r="B42" i="7"/>
  <c r="G41" i="7"/>
  <c r="H41" i="7" s="1"/>
  <c r="B41" i="7"/>
  <c r="G40" i="7"/>
  <c r="H40" i="7" s="1"/>
  <c r="B40" i="7"/>
  <c r="G39" i="7"/>
  <c r="H39" i="7" s="1"/>
  <c r="B39" i="7"/>
  <c r="G38" i="7"/>
  <c r="H38" i="7" s="1"/>
  <c r="B38" i="7"/>
  <c r="G37" i="7"/>
  <c r="H37" i="7" s="1"/>
  <c r="B37" i="7"/>
  <c r="G36" i="7"/>
  <c r="H36" i="7" s="1"/>
  <c r="B36" i="7"/>
  <c r="G35" i="7"/>
  <c r="H35" i="7" s="1"/>
  <c r="B35" i="7"/>
  <c r="G34" i="7"/>
  <c r="H34" i="7" s="1"/>
  <c r="B34" i="7"/>
  <c r="G33" i="7"/>
  <c r="H33" i="7" s="1"/>
  <c r="B33" i="7"/>
  <c r="G32" i="7"/>
  <c r="H32" i="7" s="1"/>
  <c r="B32" i="7"/>
  <c r="H31" i="7"/>
  <c r="G31" i="7"/>
  <c r="B31" i="7"/>
  <c r="G30" i="7"/>
  <c r="H30" i="7" s="1"/>
  <c r="B30" i="7"/>
  <c r="G29" i="7"/>
  <c r="H29" i="7" s="1"/>
  <c r="B29" i="7"/>
  <c r="G28" i="7"/>
  <c r="H28" i="7" s="1"/>
  <c r="B28" i="7"/>
  <c r="G27" i="7"/>
  <c r="H27" i="7" s="1"/>
  <c r="B27" i="7"/>
  <c r="G26" i="7"/>
  <c r="H26" i="7" s="1"/>
  <c r="I32" i="7" s="1"/>
  <c r="B26" i="7"/>
  <c r="G25" i="7"/>
  <c r="H25" i="7" s="1"/>
  <c r="B25" i="7"/>
  <c r="G24" i="7"/>
  <c r="H24" i="7" s="1"/>
  <c r="B24" i="7"/>
  <c r="G23" i="7"/>
  <c r="H23" i="7" s="1"/>
  <c r="C23" i="7"/>
  <c r="B23" i="7"/>
  <c r="G22" i="7"/>
  <c r="H22" i="7" s="1"/>
  <c r="B22" i="7"/>
  <c r="G21" i="7"/>
  <c r="H21" i="7" s="1"/>
  <c r="B21" i="7"/>
  <c r="E15" i="7"/>
  <c r="I15" i="7" s="1"/>
  <c r="E14" i="7"/>
  <c r="L6" i="2" s="1"/>
  <c r="E6" i="7"/>
  <c r="E5" i="7"/>
  <c r="E4" i="7"/>
  <c r="C49" i="7" s="1"/>
  <c r="G50" i="6"/>
  <c r="H50" i="6" s="1"/>
  <c r="D50" i="6"/>
  <c r="E50" i="6" s="1"/>
  <c r="C50" i="6"/>
  <c r="B50" i="6"/>
  <c r="G49" i="6"/>
  <c r="H49" i="6" s="1"/>
  <c r="E49" i="6"/>
  <c r="D49" i="6"/>
  <c r="B49" i="6"/>
  <c r="G48" i="6"/>
  <c r="H48" i="6" s="1"/>
  <c r="D48" i="6"/>
  <c r="E48" i="6" s="1"/>
  <c r="B48" i="6"/>
  <c r="G47" i="6"/>
  <c r="H47" i="6" s="1"/>
  <c r="D47" i="6"/>
  <c r="E47" i="6" s="1"/>
  <c r="C47" i="6"/>
  <c r="B47" i="6"/>
  <c r="G46" i="6"/>
  <c r="H46" i="6" s="1"/>
  <c r="D46" i="6"/>
  <c r="E46" i="6" s="1"/>
  <c r="B46" i="6"/>
  <c r="G45" i="6"/>
  <c r="H45" i="6" s="1"/>
  <c r="D45" i="6"/>
  <c r="E45" i="6" s="1"/>
  <c r="B45" i="6"/>
  <c r="H44" i="6"/>
  <c r="G44" i="6"/>
  <c r="D44" i="6"/>
  <c r="E44" i="6" s="1"/>
  <c r="C44" i="6"/>
  <c r="B44" i="6"/>
  <c r="G43" i="6"/>
  <c r="H43" i="6" s="1"/>
  <c r="D43" i="6"/>
  <c r="E43" i="6" s="1"/>
  <c r="B43" i="6"/>
  <c r="G42" i="6"/>
  <c r="H42" i="6" s="1"/>
  <c r="D42" i="6"/>
  <c r="E42" i="6" s="1"/>
  <c r="B42" i="6"/>
  <c r="G41" i="6"/>
  <c r="H41" i="6" s="1"/>
  <c r="D41" i="6"/>
  <c r="E41" i="6" s="1"/>
  <c r="B41" i="6"/>
  <c r="G40" i="6"/>
  <c r="H40" i="6" s="1"/>
  <c r="D40" i="6"/>
  <c r="E40" i="6" s="1"/>
  <c r="B40" i="6"/>
  <c r="H39" i="6"/>
  <c r="G39" i="6"/>
  <c r="D39" i="6"/>
  <c r="E39" i="6" s="1"/>
  <c r="C39" i="6"/>
  <c r="B39" i="6"/>
  <c r="G38" i="6"/>
  <c r="H38" i="6" s="1"/>
  <c r="D38" i="6"/>
  <c r="E38" i="6" s="1"/>
  <c r="B38" i="6"/>
  <c r="G37" i="6"/>
  <c r="H37" i="6" s="1"/>
  <c r="D37" i="6"/>
  <c r="E37" i="6" s="1"/>
  <c r="C37" i="6"/>
  <c r="B37" i="6"/>
  <c r="G36" i="6"/>
  <c r="H36" i="6" s="1"/>
  <c r="D36" i="6"/>
  <c r="E36" i="6" s="1"/>
  <c r="B36" i="6"/>
  <c r="G35" i="6"/>
  <c r="H35" i="6" s="1"/>
  <c r="D35" i="6"/>
  <c r="E35" i="6" s="1"/>
  <c r="C35" i="6"/>
  <c r="B35" i="6"/>
  <c r="G34" i="6"/>
  <c r="H34" i="6" s="1"/>
  <c r="D34" i="6"/>
  <c r="E34" i="6" s="1"/>
  <c r="B34" i="6"/>
  <c r="G33" i="6"/>
  <c r="H33" i="6" s="1"/>
  <c r="D33" i="6"/>
  <c r="E33" i="6" s="1"/>
  <c r="C33" i="6"/>
  <c r="B33" i="6"/>
  <c r="H32" i="6"/>
  <c r="G32" i="6"/>
  <c r="D32" i="6"/>
  <c r="E32" i="6" s="1"/>
  <c r="B32" i="6"/>
  <c r="G31" i="6"/>
  <c r="H31" i="6" s="1"/>
  <c r="D31" i="6"/>
  <c r="E31" i="6" s="1"/>
  <c r="B31" i="6"/>
  <c r="G30" i="6"/>
  <c r="H30" i="6" s="1"/>
  <c r="E30" i="6"/>
  <c r="D30" i="6"/>
  <c r="B30" i="6"/>
  <c r="G29" i="6"/>
  <c r="H29" i="6" s="1"/>
  <c r="D29" i="6"/>
  <c r="E29" i="6" s="1"/>
  <c r="B29" i="6"/>
  <c r="G28" i="6"/>
  <c r="H28" i="6" s="1"/>
  <c r="D28" i="6"/>
  <c r="E28" i="6" s="1"/>
  <c r="B28" i="6"/>
  <c r="G27" i="6"/>
  <c r="H27" i="6" s="1"/>
  <c r="D27" i="6"/>
  <c r="E27" i="6" s="1"/>
  <c r="C27" i="6"/>
  <c r="E16" i="6" s="1"/>
  <c r="I16" i="6" s="1"/>
  <c r="B27" i="6"/>
  <c r="H26" i="6"/>
  <c r="G26" i="6"/>
  <c r="D26" i="6"/>
  <c r="E26" i="6" s="1"/>
  <c r="B26" i="6"/>
  <c r="G25" i="6"/>
  <c r="H25" i="6" s="1"/>
  <c r="C25" i="6"/>
  <c r="B25" i="6"/>
  <c r="G24" i="6"/>
  <c r="H24" i="6" s="1"/>
  <c r="B24" i="6"/>
  <c r="G23" i="6"/>
  <c r="H23" i="6" s="1"/>
  <c r="B23" i="6"/>
  <c r="G22" i="6"/>
  <c r="H22" i="6" s="1"/>
  <c r="B22" i="6"/>
  <c r="G21" i="6"/>
  <c r="H21" i="6" s="1"/>
  <c r="I22" i="6" s="1"/>
  <c r="B21" i="6"/>
  <c r="E15" i="6"/>
  <c r="I15" i="6" s="1"/>
  <c r="J14" i="6"/>
  <c r="E14" i="6"/>
  <c r="I14" i="6" s="1"/>
  <c r="E6" i="6"/>
  <c r="E5" i="6"/>
  <c r="E4" i="6"/>
  <c r="C38" i="6" s="1"/>
  <c r="G50" i="5"/>
  <c r="H50" i="5" s="1"/>
  <c r="D50" i="5"/>
  <c r="E50" i="5" s="1"/>
  <c r="B50" i="5"/>
  <c r="G49" i="5"/>
  <c r="H49" i="5" s="1"/>
  <c r="D49" i="5"/>
  <c r="E49" i="5" s="1"/>
  <c r="C49" i="5"/>
  <c r="B49" i="5"/>
  <c r="G48" i="5"/>
  <c r="H48" i="5" s="1"/>
  <c r="D48" i="5"/>
  <c r="E48" i="5" s="1"/>
  <c r="B48" i="5"/>
  <c r="G47" i="5"/>
  <c r="H47" i="5" s="1"/>
  <c r="D47" i="5"/>
  <c r="E47" i="5" s="1"/>
  <c r="B47" i="5"/>
  <c r="G46" i="5"/>
  <c r="H46" i="5" s="1"/>
  <c r="D46" i="5"/>
  <c r="E46" i="5" s="1"/>
  <c r="B46" i="5"/>
  <c r="G45" i="5"/>
  <c r="H45" i="5" s="1"/>
  <c r="D45" i="5"/>
  <c r="E45" i="5" s="1"/>
  <c r="B45" i="5"/>
  <c r="G44" i="5"/>
  <c r="H44" i="5" s="1"/>
  <c r="D44" i="5"/>
  <c r="E44" i="5" s="1"/>
  <c r="B44" i="5"/>
  <c r="G43" i="5"/>
  <c r="H43" i="5" s="1"/>
  <c r="D43" i="5"/>
  <c r="E43" i="5" s="1"/>
  <c r="B43" i="5"/>
  <c r="G42" i="5"/>
  <c r="H42" i="5" s="1"/>
  <c r="D42" i="5"/>
  <c r="E42" i="5" s="1"/>
  <c r="B42" i="5"/>
  <c r="G41" i="5"/>
  <c r="H41" i="5" s="1"/>
  <c r="D41" i="5"/>
  <c r="E41" i="5" s="1"/>
  <c r="B41" i="5"/>
  <c r="G40" i="5"/>
  <c r="H40" i="5" s="1"/>
  <c r="D40" i="5"/>
  <c r="E40" i="5" s="1"/>
  <c r="B40" i="5"/>
  <c r="G39" i="5"/>
  <c r="H39" i="5" s="1"/>
  <c r="D39" i="5"/>
  <c r="E39" i="5" s="1"/>
  <c r="B39" i="5"/>
  <c r="H38" i="5"/>
  <c r="G38" i="5"/>
  <c r="D38" i="5"/>
  <c r="E38" i="5" s="1"/>
  <c r="B38" i="5"/>
  <c r="H37" i="5"/>
  <c r="G37" i="5"/>
  <c r="D37" i="5"/>
  <c r="E37" i="5" s="1"/>
  <c r="B37" i="5"/>
  <c r="G36" i="5"/>
  <c r="H36" i="5" s="1"/>
  <c r="D36" i="5"/>
  <c r="E36" i="5" s="1"/>
  <c r="B36" i="5"/>
  <c r="G35" i="5"/>
  <c r="H35" i="5" s="1"/>
  <c r="B35" i="5"/>
  <c r="H34" i="5"/>
  <c r="G34" i="5"/>
  <c r="B34" i="5"/>
  <c r="G33" i="5"/>
  <c r="H33" i="5" s="1"/>
  <c r="B33" i="5"/>
  <c r="G32" i="5"/>
  <c r="H32" i="5" s="1"/>
  <c r="B32" i="5"/>
  <c r="G31" i="5"/>
  <c r="H31" i="5" s="1"/>
  <c r="B31" i="5"/>
  <c r="G30" i="5"/>
  <c r="H30" i="5" s="1"/>
  <c r="B30" i="5"/>
  <c r="G29" i="5"/>
  <c r="H29" i="5" s="1"/>
  <c r="B29" i="5"/>
  <c r="H28" i="5"/>
  <c r="G28" i="5"/>
  <c r="B28" i="5"/>
  <c r="G27" i="5"/>
  <c r="H27" i="5" s="1"/>
  <c r="B27" i="5"/>
  <c r="G26" i="5"/>
  <c r="H26" i="5" s="1"/>
  <c r="B26" i="5"/>
  <c r="G25" i="5"/>
  <c r="H25" i="5" s="1"/>
  <c r="B25" i="5"/>
  <c r="G24" i="5"/>
  <c r="H24" i="5" s="1"/>
  <c r="B24" i="5"/>
  <c r="G23" i="5"/>
  <c r="H23" i="5" s="1"/>
  <c r="B23" i="5"/>
  <c r="G22" i="5"/>
  <c r="H22" i="5" s="1"/>
  <c r="B22" i="5"/>
  <c r="G21" i="5"/>
  <c r="H21" i="5" s="1"/>
  <c r="B21" i="5"/>
  <c r="E15" i="5"/>
  <c r="I15" i="5" s="1"/>
  <c r="J14" i="5"/>
  <c r="I14" i="5"/>
  <c r="E14" i="5"/>
  <c r="E6" i="5"/>
  <c r="E5" i="5"/>
  <c r="E4" i="5"/>
  <c r="C37" i="5" s="1"/>
  <c r="H50" i="4"/>
  <c r="G50" i="4"/>
  <c r="B50" i="4"/>
  <c r="G49" i="4"/>
  <c r="H49" i="4" s="1"/>
  <c r="B49" i="4"/>
  <c r="G48" i="4"/>
  <c r="H48" i="4" s="1"/>
  <c r="C48" i="4"/>
  <c r="B48" i="4"/>
  <c r="G47" i="4"/>
  <c r="H47" i="4" s="1"/>
  <c r="B47" i="4"/>
  <c r="G46" i="4"/>
  <c r="H46" i="4" s="1"/>
  <c r="B46" i="4"/>
  <c r="G45" i="4"/>
  <c r="H45" i="4" s="1"/>
  <c r="B45" i="4"/>
  <c r="G44" i="4"/>
  <c r="H44" i="4" s="1"/>
  <c r="B44" i="4"/>
  <c r="G43" i="4"/>
  <c r="H43" i="4" s="1"/>
  <c r="B43" i="4"/>
  <c r="G42" i="4"/>
  <c r="H42" i="4" s="1"/>
  <c r="B42" i="4"/>
  <c r="G41" i="4"/>
  <c r="H41" i="4" s="1"/>
  <c r="B41" i="4"/>
  <c r="G40" i="4"/>
  <c r="H40" i="4" s="1"/>
  <c r="B40" i="4"/>
  <c r="G39" i="4"/>
  <c r="H39" i="4" s="1"/>
  <c r="B39" i="4"/>
  <c r="G38" i="4"/>
  <c r="H38" i="4" s="1"/>
  <c r="B38" i="4"/>
  <c r="G37" i="4"/>
  <c r="H37" i="4" s="1"/>
  <c r="B37" i="4"/>
  <c r="G36" i="4"/>
  <c r="H36" i="4" s="1"/>
  <c r="C36" i="4"/>
  <c r="B36" i="4"/>
  <c r="G35" i="4"/>
  <c r="H35" i="4" s="1"/>
  <c r="B35" i="4"/>
  <c r="G34" i="4"/>
  <c r="H34" i="4" s="1"/>
  <c r="B34" i="4"/>
  <c r="H33" i="4"/>
  <c r="G33" i="4"/>
  <c r="B33" i="4"/>
  <c r="G32" i="4"/>
  <c r="H32" i="4" s="1"/>
  <c r="B32" i="4"/>
  <c r="G31" i="4"/>
  <c r="H31" i="4" s="1"/>
  <c r="B31" i="4"/>
  <c r="G30" i="4"/>
  <c r="H30" i="4" s="1"/>
  <c r="B30" i="4"/>
  <c r="G29" i="4"/>
  <c r="H29" i="4" s="1"/>
  <c r="B29" i="4"/>
  <c r="G28" i="4"/>
  <c r="H28" i="4" s="1"/>
  <c r="B28" i="4"/>
  <c r="H27" i="4"/>
  <c r="G27" i="4"/>
  <c r="B27" i="4"/>
  <c r="G26" i="4"/>
  <c r="H26" i="4" s="1"/>
  <c r="B26" i="4"/>
  <c r="G25" i="4"/>
  <c r="H25" i="4" s="1"/>
  <c r="B25" i="4"/>
  <c r="G24" i="4"/>
  <c r="H24" i="4" s="1"/>
  <c r="B24" i="4"/>
  <c r="G23" i="4"/>
  <c r="H23" i="4" s="1"/>
  <c r="B23" i="4"/>
  <c r="G22" i="4"/>
  <c r="H22" i="4" s="1"/>
  <c r="B22" i="4"/>
  <c r="H21" i="4"/>
  <c r="I21" i="4" s="1"/>
  <c r="G21" i="4"/>
  <c r="B21" i="4"/>
  <c r="I15" i="4"/>
  <c r="E15" i="4"/>
  <c r="E14" i="4"/>
  <c r="E6" i="4"/>
  <c r="E5" i="4"/>
  <c r="E4" i="4"/>
  <c r="C39" i="4" s="1"/>
  <c r="G50" i="3"/>
  <c r="H50" i="3" s="1"/>
  <c r="B50" i="3"/>
  <c r="G49" i="3"/>
  <c r="H49" i="3" s="1"/>
  <c r="B49" i="3"/>
  <c r="G48" i="3"/>
  <c r="H48" i="3" s="1"/>
  <c r="C48" i="3"/>
  <c r="B48" i="3"/>
  <c r="G47" i="3"/>
  <c r="H47" i="3" s="1"/>
  <c r="B47" i="3"/>
  <c r="G46" i="3"/>
  <c r="H46" i="3" s="1"/>
  <c r="B46" i="3"/>
  <c r="G45" i="3"/>
  <c r="H45" i="3" s="1"/>
  <c r="B45" i="3"/>
  <c r="G44" i="3"/>
  <c r="H44" i="3" s="1"/>
  <c r="B44" i="3"/>
  <c r="G43" i="3"/>
  <c r="H43" i="3" s="1"/>
  <c r="B43" i="3"/>
  <c r="G42" i="3"/>
  <c r="H42" i="3" s="1"/>
  <c r="B42" i="3"/>
  <c r="G41" i="3"/>
  <c r="H41" i="3" s="1"/>
  <c r="C41" i="3"/>
  <c r="B41" i="3"/>
  <c r="H40" i="3"/>
  <c r="G40" i="3"/>
  <c r="B40" i="3"/>
  <c r="H39" i="3"/>
  <c r="G39" i="3"/>
  <c r="B39" i="3"/>
  <c r="G38" i="3"/>
  <c r="H38" i="3" s="1"/>
  <c r="C38" i="3"/>
  <c r="B38" i="3"/>
  <c r="G37" i="3"/>
  <c r="H37" i="3" s="1"/>
  <c r="B37" i="3"/>
  <c r="G36" i="3"/>
  <c r="H36" i="3" s="1"/>
  <c r="B36" i="3"/>
  <c r="G35" i="3"/>
  <c r="H35" i="3" s="1"/>
  <c r="B35" i="3"/>
  <c r="G34" i="3"/>
  <c r="H34" i="3" s="1"/>
  <c r="B34" i="3"/>
  <c r="G33" i="3"/>
  <c r="H33" i="3" s="1"/>
  <c r="B33" i="3"/>
  <c r="G32" i="3"/>
  <c r="H32" i="3" s="1"/>
  <c r="B32" i="3"/>
  <c r="G31" i="3"/>
  <c r="H31" i="3" s="1"/>
  <c r="C31" i="3"/>
  <c r="B31" i="3"/>
  <c r="G30" i="3"/>
  <c r="H30" i="3" s="1"/>
  <c r="B30" i="3"/>
  <c r="G29" i="3"/>
  <c r="H29" i="3" s="1"/>
  <c r="B29" i="3"/>
  <c r="G28" i="3"/>
  <c r="H28" i="3" s="1"/>
  <c r="B28" i="3"/>
  <c r="G27" i="3"/>
  <c r="H27" i="3" s="1"/>
  <c r="B27" i="3"/>
  <c r="G26" i="3"/>
  <c r="H26" i="3" s="1"/>
  <c r="B26" i="3"/>
  <c r="G25" i="3"/>
  <c r="H25" i="3" s="1"/>
  <c r="C25" i="3"/>
  <c r="B25" i="3"/>
  <c r="G24" i="3"/>
  <c r="H24" i="3" s="1"/>
  <c r="B24" i="3"/>
  <c r="G23" i="3"/>
  <c r="H23" i="3" s="1"/>
  <c r="B23" i="3"/>
  <c r="G22" i="3"/>
  <c r="H22" i="3" s="1"/>
  <c r="B22" i="3"/>
  <c r="G21" i="3"/>
  <c r="H21" i="3" s="1"/>
  <c r="C21" i="3"/>
  <c r="E16" i="3" s="1"/>
  <c r="I16" i="3" s="1"/>
  <c r="B21" i="3"/>
  <c r="I15" i="3"/>
  <c r="E15" i="3"/>
  <c r="E14" i="3"/>
  <c r="I14" i="3" s="1"/>
  <c r="E6" i="3"/>
  <c r="E5" i="3"/>
  <c r="E4" i="3"/>
  <c r="C26" i="3" s="1"/>
  <c r="E12" i="2"/>
  <c r="D12" i="2"/>
  <c r="C12" i="2"/>
  <c r="F11" i="2"/>
  <c r="E11" i="2"/>
  <c r="D11" i="2"/>
  <c r="C11" i="2"/>
  <c r="L10" i="2"/>
  <c r="E10" i="2"/>
  <c r="D10" i="2"/>
  <c r="C10" i="2"/>
  <c r="E9" i="2"/>
  <c r="D9" i="2"/>
  <c r="C9" i="2"/>
  <c r="L8" i="2"/>
  <c r="E8" i="2"/>
  <c r="D8" i="2"/>
  <c r="C8" i="2"/>
  <c r="E7" i="2"/>
  <c r="D7" i="2"/>
  <c r="C7" i="2"/>
  <c r="E6" i="2"/>
  <c r="D6" i="2"/>
  <c r="C6" i="2"/>
  <c r="L5" i="2"/>
  <c r="E5" i="2"/>
  <c r="D5" i="2"/>
  <c r="C5" i="2"/>
  <c r="L4" i="2"/>
  <c r="E4" i="2"/>
  <c r="D4" i="2"/>
  <c r="C4" i="2"/>
  <c r="L3" i="2"/>
  <c r="E3" i="2"/>
  <c r="D3" i="2"/>
  <c r="C3" i="2"/>
  <c r="L2" i="2"/>
  <c r="E2" i="2"/>
  <c r="D2" i="2"/>
  <c r="C2" i="2"/>
  <c r="I22" i="9" l="1"/>
  <c r="I36" i="10"/>
  <c r="I39" i="10"/>
  <c r="I22" i="5"/>
  <c r="I21" i="5"/>
  <c r="I21" i="12"/>
  <c r="I32" i="12"/>
  <c r="I29" i="13"/>
  <c r="C38" i="8"/>
  <c r="C28" i="9"/>
  <c r="C45" i="9"/>
  <c r="D35" i="12"/>
  <c r="E35" i="12" s="1"/>
  <c r="F8" i="2"/>
  <c r="C23" i="4"/>
  <c r="C35" i="8"/>
  <c r="C45" i="8"/>
  <c r="C50" i="10"/>
  <c r="I7" i="12"/>
  <c r="C42" i="8"/>
  <c r="C39" i="8"/>
  <c r="L11" i="2"/>
  <c r="C34" i="9"/>
  <c r="I24" i="10"/>
  <c r="C27" i="8"/>
  <c r="E7" i="8"/>
  <c r="I29" i="5"/>
  <c r="C43" i="7"/>
  <c r="C28" i="8"/>
  <c r="I14" i="12"/>
  <c r="I30" i="6"/>
  <c r="I45" i="6"/>
  <c r="C48" i="6"/>
  <c r="C32" i="8"/>
  <c r="C46" i="8"/>
  <c r="D40" i="12"/>
  <c r="E40" i="12" s="1"/>
  <c r="C43" i="3"/>
  <c r="C24" i="4"/>
  <c r="C46" i="4"/>
  <c r="C28" i="6"/>
  <c r="C25" i="8"/>
  <c r="C36" i="8"/>
  <c r="D30" i="9"/>
  <c r="E30" i="9" s="1"/>
  <c r="E7" i="10"/>
  <c r="D36" i="10" s="1"/>
  <c r="E36" i="10" s="1"/>
  <c r="C44" i="12"/>
  <c r="C42" i="4"/>
  <c r="I14" i="13"/>
  <c r="C43" i="8"/>
  <c r="C43" i="6"/>
  <c r="C36" i="3"/>
  <c r="C34" i="4"/>
  <c r="C39" i="5"/>
  <c r="C45" i="5"/>
  <c r="C26" i="8"/>
  <c r="C37" i="8"/>
  <c r="C48" i="9"/>
  <c r="J14" i="10"/>
  <c r="D24" i="12"/>
  <c r="E24" i="12" s="1"/>
  <c r="D34" i="12"/>
  <c r="E34" i="12" s="1"/>
  <c r="C38" i="12"/>
  <c r="C45" i="12"/>
  <c r="C49" i="8"/>
  <c r="C50" i="8"/>
  <c r="C23" i="3"/>
  <c r="C31" i="7"/>
  <c r="C45" i="7"/>
  <c r="C22" i="8"/>
  <c r="C30" i="8"/>
  <c r="C41" i="8"/>
  <c r="C44" i="8"/>
  <c r="C49" i="9"/>
  <c r="C28" i="12"/>
  <c r="J16" i="6"/>
  <c r="C21" i="8"/>
  <c r="C29" i="8"/>
  <c r="L9" i="2"/>
  <c r="C34" i="6"/>
  <c r="L7" i="2"/>
  <c r="C32" i="3"/>
  <c r="C23" i="9"/>
  <c r="C36" i="9"/>
  <c r="C40" i="9"/>
  <c r="C32" i="12"/>
  <c r="C42" i="12"/>
  <c r="I42" i="3"/>
  <c r="I43" i="3"/>
  <c r="I50" i="3"/>
  <c r="I39" i="3"/>
  <c r="I38" i="3"/>
  <c r="I29" i="3"/>
  <c r="I25" i="3"/>
  <c r="I23" i="3"/>
  <c r="I48" i="3"/>
  <c r="I44" i="3"/>
  <c r="I28" i="3"/>
  <c r="I24" i="3"/>
  <c r="I30" i="3"/>
  <c r="I31" i="4"/>
  <c r="C50" i="3"/>
  <c r="I50" i="5"/>
  <c r="I36" i="7"/>
  <c r="I29" i="7"/>
  <c r="I43" i="7"/>
  <c r="I25" i="7"/>
  <c r="I39" i="7"/>
  <c r="I50" i="9"/>
  <c r="I47" i="9"/>
  <c r="I30" i="5"/>
  <c r="I25" i="6"/>
  <c r="I46" i="8"/>
  <c r="I37" i="8"/>
  <c r="I47" i="8"/>
  <c r="I50" i="8"/>
  <c r="I36" i="8"/>
  <c r="I29" i="8"/>
  <c r="I30" i="8"/>
  <c r="I44" i="8"/>
  <c r="I33" i="8"/>
  <c r="I48" i="8"/>
  <c r="I42" i="8"/>
  <c r="I26" i="8"/>
  <c r="I43" i="8"/>
  <c r="I23" i="8"/>
  <c r="I40" i="8"/>
  <c r="I31" i="8"/>
  <c r="I27" i="8"/>
  <c r="I45" i="8"/>
  <c r="I34" i="8"/>
  <c r="I35" i="8"/>
  <c r="I39" i="8"/>
  <c r="I25" i="8"/>
  <c r="I21" i="8"/>
  <c r="I41" i="8"/>
  <c r="I38" i="8"/>
  <c r="I28" i="8"/>
  <c r="I24" i="8"/>
  <c r="I22" i="8"/>
  <c r="I37" i="3"/>
  <c r="C47" i="3"/>
  <c r="I36" i="11"/>
  <c r="I49" i="4"/>
  <c r="I37" i="4"/>
  <c r="I25" i="4"/>
  <c r="I50" i="4"/>
  <c r="I38" i="4"/>
  <c r="I26" i="4"/>
  <c r="I47" i="4"/>
  <c r="I22" i="4"/>
  <c r="I43" i="4"/>
  <c r="I28" i="4"/>
  <c r="I36" i="4"/>
  <c r="I29" i="4"/>
  <c r="I46" i="4"/>
  <c r="I33" i="4"/>
  <c r="I23" i="4"/>
  <c r="I40" i="4"/>
  <c r="I30" i="4"/>
  <c r="I45" i="4"/>
  <c r="I35" i="4"/>
  <c r="I35" i="5"/>
  <c r="I27" i="4"/>
  <c r="I32" i="8"/>
  <c r="I37" i="7"/>
  <c r="C22" i="3"/>
  <c r="C42" i="3"/>
  <c r="C43" i="4"/>
  <c r="C31" i="4"/>
  <c r="C44" i="4"/>
  <c r="C32" i="4"/>
  <c r="C50" i="4"/>
  <c r="C40" i="4"/>
  <c r="C35" i="4"/>
  <c r="C30" i="4"/>
  <c r="C26" i="4"/>
  <c r="C21" i="4"/>
  <c r="C41" i="4"/>
  <c r="C38" i="4"/>
  <c r="C45" i="4"/>
  <c r="C28" i="4"/>
  <c r="C25" i="4"/>
  <c r="E16" i="4" s="1"/>
  <c r="I16" i="4" s="1"/>
  <c r="C22" i="4"/>
  <c r="C49" i="4"/>
  <c r="C27" i="4"/>
  <c r="I32" i="4"/>
  <c r="I34" i="4"/>
  <c r="I42" i="4"/>
  <c r="I44" i="4"/>
  <c r="I39" i="5"/>
  <c r="E7" i="3"/>
  <c r="I40" i="3"/>
  <c r="I24" i="4"/>
  <c r="C29" i="4"/>
  <c r="I48" i="4"/>
  <c r="C42" i="5"/>
  <c r="C43" i="5"/>
  <c r="C50" i="5"/>
  <c r="C35" i="5"/>
  <c r="E7" i="5"/>
  <c r="C23" i="5" s="1"/>
  <c r="C46" i="5"/>
  <c r="C40" i="5"/>
  <c r="C36" i="5"/>
  <c r="C47" i="5"/>
  <c r="C41" i="5"/>
  <c r="C38" i="5"/>
  <c r="C44" i="5"/>
  <c r="I45" i="5"/>
  <c r="I47" i="6"/>
  <c r="I35" i="6"/>
  <c r="I23" i="6"/>
  <c r="I48" i="6"/>
  <c r="I36" i="6"/>
  <c r="I24" i="6"/>
  <c r="I50" i="6"/>
  <c r="I46" i="6"/>
  <c r="I42" i="6"/>
  <c r="I33" i="6"/>
  <c r="I38" i="6"/>
  <c r="I28" i="6"/>
  <c r="I34" i="6"/>
  <c r="I39" i="6"/>
  <c r="I31" i="6"/>
  <c r="I41" i="6"/>
  <c r="I26" i="6"/>
  <c r="I49" i="6"/>
  <c r="I37" i="6"/>
  <c r="I29" i="6"/>
  <c r="I44" i="6"/>
  <c r="I21" i="6"/>
  <c r="I32" i="6"/>
  <c r="I27" i="6"/>
  <c r="I43" i="6"/>
  <c r="I46" i="5"/>
  <c r="J14" i="4"/>
  <c r="I14" i="4"/>
  <c r="I46" i="9"/>
  <c r="I27" i="5"/>
  <c r="I34" i="5"/>
  <c r="I49" i="3"/>
  <c r="E7" i="4"/>
  <c r="C47" i="4"/>
  <c r="C48" i="5"/>
  <c r="I49" i="8"/>
  <c r="I41" i="4"/>
  <c r="I33" i="5"/>
  <c r="I39" i="4"/>
  <c r="I40" i="5"/>
  <c r="C39" i="3"/>
  <c r="C27" i="3"/>
  <c r="C40" i="3"/>
  <c r="C28" i="3"/>
  <c r="C34" i="3"/>
  <c r="C29" i="3"/>
  <c r="C44" i="3"/>
  <c r="C24" i="3"/>
  <c r="C49" i="3"/>
  <c r="C45" i="3"/>
  <c r="C35" i="3"/>
  <c r="C30" i="3"/>
  <c r="C37" i="3"/>
  <c r="C33" i="3"/>
  <c r="I26" i="5"/>
  <c r="C46" i="3"/>
  <c r="C33" i="4"/>
  <c r="C37" i="4"/>
  <c r="I40" i="6"/>
  <c r="I28" i="7"/>
  <c r="I35" i="7"/>
  <c r="I35" i="3"/>
  <c r="I45" i="7"/>
  <c r="I33" i="7"/>
  <c r="I21" i="7"/>
  <c r="I46" i="7"/>
  <c r="I34" i="7"/>
  <c r="I22" i="7"/>
  <c r="I40" i="7"/>
  <c r="I30" i="7"/>
  <c r="I49" i="7"/>
  <c r="I38" i="7"/>
  <c r="I23" i="7"/>
  <c r="I27" i="7"/>
  <c r="I50" i="7"/>
  <c r="I42" i="7"/>
  <c r="I47" i="7"/>
  <c r="I24" i="7"/>
  <c r="I41" i="7"/>
  <c r="I30" i="9"/>
  <c r="D48" i="8"/>
  <c r="E48" i="8" s="1"/>
  <c r="D50" i="8"/>
  <c r="E50" i="8" s="1"/>
  <c r="D43" i="8"/>
  <c r="E43" i="8" s="1"/>
  <c r="D32" i="8"/>
  <c r="E32" i="8" s="1"/>
  <c r="D44" i="8"/>
  <c r="E44" i="8" s="1"/>
  <c r="D40" i="8"/>
  <c r="E40" i="8" s="1"/>
  <c r="D24" i="8"/>
  <c r="E24" i="8" s="1"/>
  <c r="D49" i="8"/>
  <c r="E49" i="8" s="1"/>
  <c r="D45" i="8"/>
  <c r="E45" i="8" s="1"/>
  <c r="D34" i="8"/>
  <c r="E34" i="8" s="1"/>
  <c r="D25" i="8"/>
  <c r="E25" i="8" s="1"/>
  <c r="D46" i="8"/>
  <c r="E46" i="8" s="1"/>
  <c r="D36" i="8"/>
  <c r="E36" i="8" s="1"/>
  <c r="D47" i="8"/>
  <c r="E47" i="8" s="1"/>
  <c r="D37" i="8"/>
  <c r="E37" i="8" s="1"/>
  <c r="D29" i="8"/>
  <c r="E29" i="8" s="1"/>
  <c r="D39" i="8"/>
  <c r="E39" i="8" s="1"/>
  <c r="D21" i="8"/>
  <c r="E21" i="8" s="1"/>
  <c r="D42" i="8"/>
  <c r="E42" i="8" s="1"/>
  <c r="D33" i="8"/>
  <c r="E33" i="8" s="1"/>
  <c r="D30" i="8"/>
  <c r="E30" i="8" s="1"/>
  <c r="D26" i="8"/>
  <c r="E26" i="8" s="1"/>
  <c r="D22" i="8"/>
  <c r="E22" i="8" s="1"/>
  <c r="C39" i="7"/>
  <c r="C27" i="7"/>
  <c r="C40" i="7"/>
  <c r="C28" i="7"/>
  <c r="C44" i="7"/>
  <c r="C36" i="7"/>
  <c r="C29" i="7"/>
  <c r="C48" i="7"/>
  <c r="C33" i="7"/>
  <c r="C25" i="7"/>
  <c r="C41" i="7"/>
  <c r="C34" i="7"/>
  <c r="C30" i="7"/>
  <c r="C26" i="7"/>
  <c r="C38" i="7"/>
  <c r="I7" i="8"/>
  <c r="D27" i="8"/>
  <c r="E27" i="8" s="1"/>
  <c r="D31" i="8"/>
  <c r="E31" i="8" s="1"/>
  <c r="D35" i="8"/>
  <c r="E35" i="8" s="1"/>
  <c r="I42" i="10"/>
  <c r="I33" i="10"/>
  <c r="I21" i="10"/>
  <c r="I35" i="10"/>
  <c r="I23" i="10"/>
  <c r="I41" i="10"/>
  <c r="I27" i="10"/>
  <c r="I22" i="10"/>
  <c r="I34" i="10"/>
  <c r="I43" i="10"/>
  <c r="I30" i="10"/>
  <c r="I49" i="10"/>
  <c r="I44" i="10"/>
  <c r="I45" i="10"/>
  <c r="I37" i="10"/>
  <c r="I29" i="10"/>
  <c r="I40" i="10"/>
  <c r="I32" i="10"/>
  <c r="I26" i="10"/>
  <c r="I38" i="10"/>
  <c r="I50" i="10"/>
  <c r="I28" i="10"/>
  <c r="I47" i="10"/>
  <c r="I25" i="10"/>
  <c r="I48" i="10"/>
  <c r="J14" i="7"/>
  <c r="I14" i="7"/>
  <c r="C22" i="7"/>
  <c r="E16" i="7" s="1"/>
  <c r="I16" i="7" s="1"/>
  <c r="C24" i="7"/>
  <c r="C42" i="7"/>
  <c r="I26" i="9"/>
  <c r="I37" i="9"/>
  <c r="I46" i="10"/>
  <c r="C35" i="7"/>
  <c r="C50" i="7"/>
  <c r="D23" i="8"/>
  <c r="E23" i="8" s="1"/>
  <c r="I45" i="9"/>
  <c r="I24" i="11"/>
  <c r="I31" i="11"/>
  <c r="I33" i="11"/>
  <c r="I28" i="11"/>
  <c r="I37" i="11"/>
  <c r="I35" i="11"/>
  <c r="I26" i="11"/>
  <c r="I45" i="11"/>
  <c r="I40" i="11"/>
  <c r="I29" i="11"/>
  <c r="I32" i="11"/>
  <c r="I48" i="11"/>
  <c r="I30" i="11"/>
  <c r="I25" i="11"/>
  <c r="I27" i="11"/>
  <c r="I44" i="11"/>
  <c r="I39" i="11"/>
  <c r="I47" i="11"/>
  <c r="I41" i="11"/>
  <c r="I38" i="11"/>
  <c r="I31" i="5"/>
  <c r="I47" i="5"/>
  <c r="E7" i="7"/>
  <c r="I31" i="7"/>
  <c r="C46" i="7"/>
  <c r="I41" i="9"/>
  <c r="I33" i="9"/>
  <c r="I21" i="9"/>
  <c r="I44" i="9"/>
  <c r="I39" i="9"/>
  <c r="I34" i="9"/>
  <c r="I27" i="9"/>
  <c r="I40" i="9"/>
  <c r="I35" i="9"/>
  <c r="I28" i="9"/>
  <c r="I38" i="9"/>
  <c r="I31" i="9"/>
  <c r="I43" i="9"/>
  <c r="I24" i="9"/>
  <c r="I42" i="9"/>
  <c r="I29" i="9"/>
  <c r="I49" i="9"/>
  <c r="I36" i="9"/>
  <c r="I23" i="9"/>
  <c r="I32" i="9"/>
  <c r="I25" i="9"/>
  <c r="I48" i="9"/>
  <c r="I31" i="10"/>
  <c r="I45" i="3"/>
  <c r="I33" i="3"/>
  <c r="I46" i="3"/>
  <c r="I34" i="3"/>
  <c r="I22" i="3"/>
  <c r="I27" i="3"/>
  <c r="I32" i="3"/>
  <c r="I47" i="3"/>
  <c r="D28" i="10"/>
  <c r="E28" i="10" s="1"/>
  <c r="D39" i="10"/>
  <c r="E39" i="10" s="1"/>
  <c r="D25" i="10"/>
  <c r="E25" i="10" s="1"/>
  <c r="D32" i="10"/>
  <c r="E32" i="10" s="1"/>
  <c r="D44" i="10"/>
  <c r="E44" i="10" s="1"/>
  <c r="D31" i="10"/>
  <c r="E31" i="10" s="1"/>
  <c r="C23" i="10"/>
  <c r="D40" i="10"/>
  <c r="E40" i="10" s="1"/>
  <c r="C31" i="10"/>
  <c r="C40" i="10"/>
  <c r="D33" i="10"/>
  <c r="E33" i="10" s="1"/>
  <c r="I14" i="11"/>
  <c r="J14" i="11"/>
  <c r="I21" i="3"/>
  <c r="I31" i="3"/>
  <c r="I41" i="3"/>
  <c r="C21" i="7"/>
  <c r="C32" i="7"/>
  <c r="C37" i="7"/>
  <c r="I44" i="7"/>
  <c r="D38" i="8"/>
  <c r="E38" i="8" s="1"/>
  <c r="D48" i="9"/>
  <c r="E48" i="9" s="1"/>
  <c r="D36" i="9"/>
  <c r="E36" i="9" s="1"/>
  <c r="D38" i="9"/>
  <c r="E38" i="9" s="1"/>
  <c r="D28" i="9"/>
  <c r="E28" i="9" s="1"/>
  <c r="J7" i="9"/>
  <c r="D47" i="9"/>
  <c r="E47" i="9" s="1"/>
  <c r="D31" i="9"/>
  <c r="E31" i="9" s="1"/>
  <c r="D24" i="9"/>
  <c r="E24" i="9" s="1"/>
  <c r="I7" i="9"/>
  <c r="D43" i="9"/>
  <c r="E43" i="9" s="1"/>
  <c r="D25" i="9"/>
  <c r="E25" i="9" s="1"/>
  <c r="D29" i="9"/>
  <c r="E29" i="9" s="1"/>
  <c r="D21" i="9"/>
  <c r="E21" i="9" s="1"/>
  <c r="D37" i="9"/>
  <c r="E37" i="9" s="1"/>
  <c r="D50" i="9"/>
  <c r="E50" i="9" s="1"/>
  <c r="D45" i="9"/>
  <c r="E45" i="9" s="1"/>
  <c r="D40" i="9"/>
  <c r="E40" i="9" s="1"/>
  <c r="D35" i="9"/>
  <c r="E35" i="9" s="1"/>
  <c r="D32" i="9"/>
  <c r="E32" i="9" s="1"/>
  <c r="D26" i="9"/>
  <c r="E26" i="9" s="1"/>
  <c r="D23" i="9"/>
  <c r="E23" i="9" s="1"/>
  <c r="D27" i="9"/>
  <c r="E27" i="9" s="1"/>
  <c r="D39" i="9"/>
  <c r="E39" i="9" s="1"/>
  <c r="D33" i="9"/>
  <c r="E33" i="9" s="1"/>
  <c r="D46" i="9"/>
  <c r="E46" i="9" s="1"/>
  <c r="D44" i="9"/>
  <c r="E44" i="9" s="1"/>
  <c r="D22" i="9"/>
  <c r="E22" i="9" s="1"/>
  <c r="D42" i="9"/>
  <c r="E42" i="9" s="1"/>
  <c r="D34" i="9"/>
  <c r="E34" i="9" s="1"/>
  <c r="C41" i="9"/>
  <c r="D29" i="10"/>
  <c r="E29" i="10" s="1"/>
  <c r="J14" i="3"/>
  <c r="I26" i="3"/>
  <c r="I36" i="3"/>
  <c r="I48" i="5"/>
  <c r="I36" i="5"/>
  <c r="I24" i="5"/>
  <c r="I49" i="5"/>
  <c r="I37" i="5"/>
  <c r="I25" i="5"/>
  <c r="I42" i="5"/>
  <c r="I32" i="5"/>
  <c r="I23" i="5"/>
  <c r="I43" i="5"/>
  <c r="I38" i="5"/>
  <c r="I28" i="5"/>
  <c r="I44" i="5"/>
  <c r="I41" i="5"/>
  <c r="I26" i="7"/>
  <c r="I48" i="7"/>
  <c r="D28" i="8"/>
  <c r="E28" i="8" s="1"/>
  <c r="C30" i="9"/>
  <c r="D41" i="9"/>
  <c r="E41" i="9" s="1"/>
  <c r="D49" i="9"/>
  <c r="E49" i="9" s="1"/>
  <c r="C41" i="6"/>
  <c r="C29" i="6"/>
  <c r="C42" i="6"/>
  <c r="C30" i="6"/>
  <c r="C46" i="6"/>
  <c r="C22" i="9"/>
  <c r="C46" i="9"/>
  <c r="C26" i="6"/>
  <c r="C32" i="6"/>
  <c r="C45" i="6"/>
  <c r="C49" i="6"/>
  <c r="E7" i="6"/>
  <c r="C23" i="6" s="1"/>
  <c r="C21" i="6"/>
  <c r="C24" i="9"/>
  <c r="C31" i="9"/>
  <c r="C31" i="6"/>
  <c r="C36" i="6"/>
  <c r="C40" i="6"/>
  <c r="C26" i="9"/>
  <c r="C39" i="9"/>
  <c r="C47" i="9"/>
  <c r="C44" i="9"/>
  <c r="C27" i="9"/>
  <c r="E16" i="9" s="1"/>
  <c r="I16" i="9" s="1"/>
  <c r="C42" i="9"/>
  <c r="C37" i="9"/>
  <c r="C38" i="9"/>
  <c r="C32" i="9"/>
  <c r="C33" i="9"/>
  <c r="C29" i="9"/>
  <c r="C25" i="9"/>
  <c r="C21" i="9"/>
  <c r="C50" i="9"/>
  <c r="C35" i="9"/>
  <c r="I46" i="12"/>
  <c r="I39" i="12"/>
  <c r="I41" i="12"/>
  <c r="I26" i="12"/>
  <c r="I49" i="12"/>
  <c r="I27" i="12"/>
  <c r="I36" i="12"/>
  <c r="C40" i="11"/>
  <c r="C28" i="11"/>
  <c r="C46" i="11"/>
  <c r="C39" i="11"/>
  <c r="C32" i="11"/>
  <c r="C25" i="11"/>
  <c r="C47" i="11"/>
  <c r="E7" i="11"/>
  <c r="C41" i="11" s="1"/>
  <c r="C35" i="11"/>
  <c r="C30" i="11"/>
  <c r="C24" i="11"/>
  <c r="C48" i="11"/>
  <c r="C23" i="11"/>
  <c r="C49" i="11"/>
  <c r="C37" i="11"/>
  <c r="C21" i="11"/>
  <c r="D31" i="12"/>
  <c r="E31" i="12" s="1"/>
  <c r="C50" i="13"/>
  <c r="E7" i="13"/>
  <c r="C24" i="13" s="1"/>
  <c r="C37" i="13"/>
  <c r="D42" i="12"/>
  <c r="E42" i="12" s="1"/>
  <c r="D30" i="12"/>
  <c r="E30" i="12" s="1"/>
  <c r="D50" i="12"/>
  <c r="E50" i="12" s="1"/>
  <c r="D38" i="12"/>
  <c r="E38" i="12" s="1"/>
  <c r="D26" i="12"/>
  <c r="E26" i="12" s="1"/>
  <c r="D32" i="12"/>
  <c r="E32" i="12" s="1"/>
  <c r="D27" i="12"/>
  <c r="E27" i="12" s="1"/>
  <c r="D37" i="12"/>
  <c r="E37" i="12" s="1"/>
  <c r="D43" i="12"/>
  <c r="E43" i="12" s="1"/>
  <c r="D33" i="12"/>
  <c r="E33" i="12" s="1"/>
  <c r="D48" i="12"/>
  <c r="E48" i="12" s="1"/>
  <c r="D46" i="12"/>
  <c r="E46" i="12" s="1"/>
  <c r="D41" i="12"/>
  <c r="E41" i="12" s="1"/>
  <c r="D22" i="12"/>
  <c r="E22" i="12" s="1"/>
  <c r="D39" i="12"/>
  <c r="E39" i="12" s="1"/>
  <c r="D21" i="12"/>
  <c r="E21" i="12" s="1"/>
  <c r="D45" i="12"/>
  <c r="E45" i="12" s="1"/>
  <c r="D49" i="12"/>
  <c r="E49" i="12" s="1"/>
  <c r="D23" i="12"/>
  <c r="E23" i="12" s="1"/>
  <c r="D44" i="12"/>
  <c r="E44" i="12" s="1"/>
  <c r="D47" i="12"/>
  <c r="E47" i="12" s="1"/>
  <c r="D28" i="12"/>
  <c r="E28" i="12" s="1"/>
  <c r="D36" i="12"/>
  <c r="E36" i="12" s="1"/>
  <c r="D25" i="12"/>
  <c r="E25" i="12" s="1"/>
  <c r="I47" i="13"/>
  <c r="I35" i="13"/>
  <c r="I48" i="13"/>
  <c r="I36" i="13"/>
  <c r="I24" i="13"/>
  <c r="I49" i="13"/>
  <c r="I50" i="13"/>
  <c r="I38" i="13"/>
  <c r="I26" i="13"/>
  <c r="I39" i="13"/>
  <c r="I27" i="13"/>
  <c r="I40" i="13"/>
  <c r="I28" i="13"/>
  <c r="I41" i="13"/>
  <c r="I42" i="13"/>
  <c r="I30" i="13"/>
  <c r="I43" i="13"/>
  <c r="I44" i="13"/>
  <c r="I32" i="13"/>
  <c r="I45" i="13"/>
  <c r="I46" i="13"/>
  <c r="I34" i="13"/>
  <c r="I22" i="13"/>
  <c r="I33" i="13"/>
  <c r="I31" i="13"/>
  <c r="I23" i="13"/>
  <c r="I25" i="13"/>
  <c r="I37" i="13"/>
  <c r="I21" i="13"/>
  <c r="C47" i="8"/>
  <c r="C31" i="8"/>
  <c r="C24" i="8"/>
  <c r="C40" i="8"/>
  <c r="C23" i="8"/>
  <c r="E16" i="8" s="1"/>
  <c r="I16" i="8" s="1"/>
  <c r="C33" i="8"/>
  <c r="C27" i="10"/>
  <c r="E16" i="10" s="1"/>
  <c r="I16" i="10" s="1"/>
  <c r="C45" i="10"/>
  <c r="C29" i="10"/>
  <c r="C47" i="10"/>
  <c r="C43" i="10"/>
  <c r="I50" i="11"/>
  <c r="I47" i="12"/>
  <c r="I35" i="12"/>
  <c r="I23" i="12"/>
  <c r="I43" i="12"/>
  <c r="I31" i="12"/>
  <c r="I29" i="12"/>
  <c r="I34" i="12"/>
  <c r="I30" i="12"/>
  <c r="I45" i="12"/>
  <c r="I40" i="12"/>
  <c r="I48" i="12"/>
  <c r="I38" i="12"/>
  <c r="I24" i="12"/>
  <c r="I44" i="12"/>
  <c r="I37" i="12"/>
  <c r="I22" i="12"/>
  <c r="I33" i="12"/>
  <c r="I28" i="12"/>
  <c r="I50" i="12"/>
  <c r="I42" i="12"/>
  <c r="I23" i="11"/>
  <c r="I43" i="11"/>
  <c r="I46" i="11"/>
  <c r="I34" i="11"/>
  <c r="I22" i="11"/>
  <c r="I42" i="11"/>
  <c r="I49" i="11"/>
  <c r="C25" i="12"/>
  <c r="C37" i="12"/>
  <c r="C49" i="12"/>
  <c r="C29" i="12"/>
  <c r="D35" i="10" l="1"/>
  <c r="E35" i="10" s="1"/>
  <c r="D26" i="10"/>
  <c r="E26" i="10" s="1"/>
  <c r="D34" i="10"/>
  <c r="E34" i="10" s="1"/>
  <c r="D30" i="10"/>
  <c r="E30" i="10" s="1"/>
  <c r="C25" i="10"/>
  <c r="C44" i="10"/>
  <c r="C22" i="10"/>
  <c r="C41" i="10"/>
  <c r="C37" i="10"/>
  <c r="D38" i="10"/>
  <c r="E38" i="10" s="1"/>
  <c r="C49" i="10"/>
  <c r="C36" i="10"/>
  <c r="C35" i="10"/>
  <c r="D24" i="10"/>
  <c r="E24" i="10" s="1"/>
  <c r="D45" i="10"/>
  <c r="E45" i="10" s="1"/>
  <c r="D37" i="10"/>
  <c r="E37" i="10" s="1"/>
  <c r="C34" i="10"/>
  <c r="I7" i="10"/>
  <c r="D22" i="10"/>
  <c r="E22" i="10" s="1"/>
  <c r="D50" i="10"/>
  <c r="E50" i="10" s="1"/>
  <c r="D49" i="10"/>
  <c r="E49" i="10" s="1"/>
  <c r="C48" i="10"/>
  <c r="C21" i="10"/>
  <c r="C24" i="10"/>
  <c r="C45" i="11"/>
  <c r="C38" i="10"/>
  <c r="D42" i="10"/>
  <c r="E42" i="10" s="1"/>
  <c r="C25" i="5"/>
  <c r="E16" i="5" s="1"/>
  <c r="J16" i="5" s="1"/>
  <c r="F9" i="2"/>
  <c r="D46" i="10"/>
  <c r="E46" i="10" s="1"/>
  <c r="D27" i="10"/>
  <c r="E27" i="10" s="1"/>
  <c r="C28" i="10"/>
  <c r="D48" i="10"/>
  <c r="E48" i="10" s="1"/>
  <c r="C22" i="13"/>
  <c r="C42" i="10"/>
  <c r="D21" i="10"/>
  <c r="E21" i="10" s="1"/>
  <c r="F29" i="10" s="1"/>
  <c r="J29" i="10" s="1"/>
  <c r="K29" i="10" s="1"/>
  <c r="L29" i="10" s="1"/>
  <c r="D43" i="10"/>
  <c r="E43" i="10" s="1"/>
  <c r="D41" i="8"/>
  <c r="E41" i="8" s="1"/>
  <c r="F7" i="2"/>
  <c r="C32" i="10"/>
  <c r="C33" i="10"/>
  <c r="C30" i="10"/>
  <c r="C39" i="10"/>
  <c r="C34" i="13"/>
  <c r="D23" i="10"/>
  <c r="E23" i="10" s="1"/>
  <c r="D41" i="10"/>
  <c r="E41" i="10" s="1"/>
  <c r="C26" i="10"/>
  <c r="D47" i="10"/>
  <c r="E47" i="10" s="1"/>
  <c r="C46" i="10"/>
  <c r="C28" i="13"/>
  <c r="C46" i="13"/>
  <c r="K42" i="9"/>
  <c r="L42" i="9" s="1"/>
  <c r="E10" i="4"/>
  <c r="K46" i="12"/>
  <c r="L46" i="12" s="1"/>
  <c r="K29" i="9"/>
  <c r="L29" i="9" s="1"/>
  <c r="D31" i="5"/>
  <c r="E31" i="5" s="1"/>
  <c r="D32" i="5"/>
  <c r="E32" i="5" s="1"/>
  <c r="D21" i="5"/>
  <c r="E21" i="5" s="1"/>
  <c r="I7" i="5"/>
  <c r="D26" i="5"/>
  <c r="E26" i="5" s="1"/>
  <c r="D24" i="5"/>
  <c r="E24" i="5" s="1"/>
  <c r="D27" i="5"/>
  <c r="E27" i="5" s="1"/>
  <c r="D35" i="5"/>
  <c r="E35" i="5" s="1"/>
  <c r="D33" i="5"/>
  <c r="E33" i="5" s="1"/>
  <c r="D30" i="5"/>
  <c r="E30" i="5" s="1"/>
  <c r="D25" i="5"/>
  <c r="E25" i="5" s="1"/>
  <c r="D22" i="5"/>
  <c r="E22" i="5" s="1"/>
  <c r="D23" i="5"/>
  <c r="E23" i="5" s="1"/>
  <c r="J7" i="5"/>
  <c r="D29" i="5"/>
  <c r="E29" i="5" s="1"/>
  <c r="D28" i="5"/>
  <c r="E28" i="5" s="1"/>
  <c r="F4" i="2"/>
  <c r="D34" i="5"/>
  <c r="E34" i="5" s="1"/>
  <c r="C34" i="5"/>
  <c r="C22" i="5"/>
  <c r="C33" i="5"/>
  <c r="C45" i="13"/>
  <c r="C29" i="13"/>
  <c r="C44" i="13"/>
  <c r="C24" i="5"/>
  <c r="C25" i="13"/>
  <c r="D40" i="7"/>
  <c r="E40" i="7" s="1"/>
  <c r="D28" i="7"/>
  <c r="E28" i="7" s="1"/>
  <c r="D41" i="7"/>
  <c r="E41" i="7" s="1"/>
  <c r="D29" i="7"/>
  <c r="E29" i="7" s="1"/>
  <c r="D43" i="7"/>
  <c r="E43" i="7" s="1"/>
  <c r="D38" i="7"/>
  <c r="E38" i="7" s="1"/>
  <c r="D48" i="7"/>
  <c r="E48" i="7" s="1"/>
  <c r="D33" i="7"/>
  <c r="E33" i="7" s="1"/>
  <c r="D25" i="7"/>
  <c r="E25" i="7" s="1"/>
  <c r="D45" i="7"/>
  <c r="E45" i="7" s="1"/>
  <c r="D37" i="7"/>
  <c r="E37" i="7" s="1"/>
  <c r="D22" i="7"/>
  <c r="E22" i="7" s="1"/>
  <c r="D49" i="7"/>
  <c r="E49" i="7" s="1"/>
  <c r="D32" i="7"/>
  <c r="E32" i="7" s="1"/>
  <c r="D21" i="7"/>
  <c r="E21" i="7" s="1"/>
  <c r="D30" i="7"/>
  <c r="E30" i="7" s="1"/>
  <c r="J7" i="7"/>
  <c r="D46" i="7"/>
  <c r="E46" i="7" s="1"/>
  <c r="I7" i="7"/>
  <c r="D50" i="7"/>
  <c r="E50" i="7" s="1"/>
  <c r="D35" i="7"/>
  <c r="E35" i="7" s="1"/>
  <c r="D26" i="7"/>
  <c r="E26" i="7" s="1"/>
  <c r="D44" i="7"/>
  <c r="E44" i="7" s="1"/>
  <c r="D42" i="7"/>
  <c r="E42" i="7" s="1"/>
  <c r="D24" i="7"/>
  <c r="E24" i="7" s="1"/>
  <c r="D31" i="7"/>
  <c r="E31" i="7" s="1"/>
  <c r="D47" i="7"/>
  <c r="E47" i="7" s="1"/>
  <c r="D36" i="7"/>
  <c r="E36" i="7" s="1"/>
  <c r="D34" i="7"/>
  <c r="E34" i="7" s="1"/>
  <c r="D39" i="7"/>
  <c r="E39" i="7" s="1"/>
  <c r="F6" i="2"/>
  <c r="D27" i="7"/>
  <c r="E27" i="7" s="1"/>
  <c r="D23" i="7"/>
  <c r="E23" i="7" s="1"/>
  <c r="E10" i="10"/>
  <c r="E10" i="7"/>
  <c r="C33" i="13"/>
  <c r="C26" i="13"/>
  <c r="E10" i="3"/>
  <c r="K41" i="9"/>
  <c r="L41" i="9" s="1"/>
  <c r="C49" i="13"/>
  <c r="C31" i="5"/>
  <c r="F50" i="9"/>
  <c r="J50" i="9" s="1"/>
  <c r="K50" i="9" s="1"/>
  <c r="L50" i="9" s="1"/>
  <c r="F38" i="9"/>
  <c r="J38" i="9" s="1"/>
  <c r="K38" i="9" s="1"/>
  <c r="L38" i="9" s="1"/>
  <c r="F46" i="9"/>
  <c r="J46" i="9" s="1"/>
  <c r="K46" i="9" s="1"/>
  <c r="L46" i="9" s="1"/>
  <c r="F39" i="9"/>
  <c r="J39" i="9" s="1"/>
  <c r="K39" i="9" s="1"/>
  <c r="L39" i="9" s="1"/>
  <c r="F30" i="9"/>
  <c r="J30" i="9" s="1"/>
  <c r="K30" i="9" s="1"/>
  <c r="L30" i="9" s="1"/>
  <c r="F43" i="9"/>
  <c r="J43" i="9" s="1"/>
  <c r="K43" i="9" s="1"/>
  <c r="L43" i="9" s="1"/>
  <c r="F25" i="9"/>
  <c r="J25" i="9" s="1"/>
  <c r="K25" i="9" s="1"/>
  <c r="L25" i="9" s="1"/>
  <c r="F41" i="9"/>
  <c r="J41" i="9" s="1"/>
  <c r="F37" i="9"/>
  <c r="J37" i="9" s="1"/>
  <c r="F34" i="9"/>
  <c r="J34" i="9" s="1"/>
  <c r="F47" i="9"/>
  <c r="J47" i="9" s="1"/>
  <c r="K47" i="9" s="1"/>
  <c r="L47" i="9" s="1"/>
  <c r="F44" i="9"/>
  <c r="J44" i="9" s="1"/>
  <c r="K44" i="9" s="1"/>
  <c r="L44" i="9" s="1"/>
  <c r="F29" i="9"/>
  <c r="J29" i="9" s="1"/>
  <c r="F33" i="9"/>
  <c r="J33" i="9" s="1"/>
  <c r="K33" i="9" s="1"/>
  <c r="L33" i="9" s="1"/>
  <c r="F24" i="9"/>
  <c r="J24" i="9" s="1"/>
  <c r="K24" i="9" s="1"/>
  <c r="L24" i="9" s="1"/>
  <c r="F21" i="9"/>
  <c r="J21" i="9" s="1"/>
  <c r="K21" i="9" s="1"/>
  <c r="L21" i="9" s="1"/>
  <c r="F48" i="9"/>
  <c r="J48" i="9" s="1"/>
  <c r="K48" i="9" s="1"/>
  <c r="L48" i="9" s="1"/>
  <c r="F31" i="9"/>
  <c r="J31" i="9" s="1"/>
  <c r="K31" i="9" s="1"/>
  <c r="L31" i="9" s="1"/>
  <c r="F26" i="9"/>
  <c r="J26" i="9" s="1"/>
  <c r="K26" i="9" s="1"/>
  <c r="L26" i="9" s="1"/>
  <c r="F22" i="9"/>
  <c r="J22" i="9" s="1"/>
  <c r="K22" i="9" s="1"/>
  <c r="L22" i="9" s="1"/>
  <c r="F42" i="9"/>
  <c r="J42" i="9" s="1"/>
  <c r="F27" i="9"/>
  <c r="J27" i="9" s="1"/>
  <c r="E9" i="9" s="1"/>
  <c r="F40" i="9"/>
  <c r="J40" i="9" s="1"/>
  <c r="F49" i="9"/>
  <c r="J49" i="9" s="1"/>
  <c r="K49" i="9" s="1"/>
  <c r="L49" i="9" s="1"/>
  <c r="F36" i="9"/>
  <c r="J36" i="9" s="1"/>
  <c r="F35" i="9"/>
  <c r="J35" i="9" s="1"/>
  <c r="K35" i="9" s="1"/>
  <c r="L35" i="9" s="1"/>
  <c r="F32" i="9"/>
  <c r="J32" i="9" s="1"/>
  <c r="K32" i="9" s="1"/>
  <c r="L32" i="9" s="1"/>
  <c r="F23" i="9"/>
  <c r="J23" i="9" s="1"/>
  <c r="K23" i="9" s="1"/>
  <c r="L23" i="9" s="1"/>
  <c r="F45" i="9"/>
  <c r="J45" i="9" s="1"/>
  <c r="K45" i="9" s="1"/>
  <c r="L45" i="9" s="1"/>
  <c r="F28" i="9"/>
  <c r="J28" i="9" s="1"/>
  <c r="K28" i="9" s="1"/>
  <c r="L28" i="9" s="1"/>
  <c r="C32" i="5"/>
  <c r="F44" i="12"/>
  <c r="J44" i="12" s="1"/>
  <c r="K44" i="12" s="1"/>
  <c r="L44" i="12" s="1"/>
  <c r="F32" i="12"/>
  <c r="J32" i="12" s="1"/>
  <c r="K32" i="12" s="1"/>
  <c r="L32" i="12" s="1"/>
  <c r="F40" i="12"/>
  <c r="J40" i="12" s="1"/>
  <c r="K40" i="12" s="1"/>
  <c r="L40" i="12" s="1"/>
  <c r="F28" i="12"/>
  <c r="J28" i="12" s="1"/>
  <c r="K28" i="12" s="1"/>
  <c r="L28" i="12" s="1"/>
  <c r="F47" i="12"/>
  <c r="J47" i="12" s="1"/>
  <c r="K47" i="12" s="1"/>
  <c r="L47" i="12" s="1"/>
  <c r="F33" i="12"/>
  <c r="J33" i="12" s="1"/>
  <c r="K33" i="12" s="1"/>
  <c r="L33" i="12" s="1"/>
  <c r="F34" i="12"/>
  <c r="J34" i="12" s="1"/>
  <c r="F29" i="12"/>
  <c r="J29" i="12" s="1"/>
  <c r="K29" i="12" s="1"/>
  <c r="L29" i="12" s="1"/>
  <c r="F42" i="12"/>
  <c r="J42" i="12" s="1"/>
  <c r="K42" i="12" s="1"/>
  <c r="L42" i="12" s="1"/>
  <c r="F37" i="12"/>
  <c r="J37" i="12" s="1"/>
  <c r="F27" i="12"/>
  <c r="J27" i="12" s="1"/>
  <c r="K27" i="12" s="1"/>
  <c r="L27" i="12" s="1"/>
  <c r="F46" i="12"/>
  <c r="J46" i="12" s="1"/>
  <c r="F41" i="12"/>
  <c r="J41" i="12" s="1"/>
  <c r="K41" i="12" s="1"/>
  <c r="L41" i="12" s="1"/>
  <c r="F39" i="12"/>
  <c r="J39" i="12" s="1"/>
  <c r="K39" i="12" s="1"/>
  <c r="L39" i="12" s="1"/>
  <c r="F49" i="12"/>
  <c r="J49" i="12" s="1"/>
  <c r="K49" i="12" s="1"/>
  <c r="L49" i="12" s="1"/>
  <c r="F25" i="12"/>
  <c r="J25" i="12" s="1"/>
  <c r="K25" i="12" s="1"/>
  <c r="L25" i="12" s="1"/>
  <c r="F48" i="12"/>
  <c r="J48" i="12" s="1"/>
  <c r="K48" i="12" s="1"/>
  <c r="L48" i="12" s="1"/>
  <c r="F38" i="12"/>
  <c r="J38" i="12" s="1"/>
  <c r="K38" i="12" s="1"/>
  <c r="L38" i="12" s="1"/>
  <c r="F21" i="12"/>
  <c r="J21" i="12" s="1"/>
  <c r="K21" i="12" s="1"/>
  <c r="L21" i="12" s="1"/>
  <c r="F30" i="12"/>
  <c r="J30" i="12" s="1"/>
  <c r="K30" i="12" s="1"/>
  <c r="L30" i="12" s="1"/>
  <c r="F22" i="12"/>
  <c r="J22" i="12" s="1"/>
  <c r="E9" i="12" s="1"/>
  <c r="F50" i="12"/>
  <c r="J50" i="12" s="1"/>
  <c r="K50" i="12" s="1"/>
  <c r="L50" i="12" s="1"/>
  <c r="F36" i="12"/>
  <c r="J36" i="12" s="1"/>
  <c r="K36" i="12" s="1"/>
  <c r="L36" i="12" s="1"/>
  <c r="F23" i="12"/>
  <c r="J23" i="12" s="1"/>
  <c r="K23" i="12" s="1"/>
  <c r="L23" i="12" s="1"/>
  <c r="F31" i="12"/>
  <c r="J31" i="12" s="1"/>
  <c r="K31" i="12" s="1"/>
  <c r="L31" i="12" s="1"/>
  <c r="F24" i="12"/>
  <c r="J24" i="12" s="1"/>
  <c r="F43" i="12"/>
  <c r="J43" i="12" s="1"/>
  <c r="K43" i="12" s="1"/>
  <c r="L43" i="12" s="1"/>
  <c r="F45" i="12"/>
  <c r="J45" i="12" s="1"/>
  <c r="K45" i="12" s="1"/>
  <c r="L45" i="12" s="1"/>
  <c r="F35" i="12"/>
  <c r="J35" i="12" s="1"/>
  <c r="K35" i="12" s="1"/>
  <c r="L35" i="12" s="1"/>
  <c r="F26" i="12"/>
  <c r="J26" i="12" s="1"/>
  <c r="K26" i="12" s="1"/>
  <c r="L26" i="12" s="1"/>
  <c r="E10" i="6"/>
  <c r="D42" i="13"/>
  <c r="E42" i="13" s="1"/>
  <c r="D43" i="13"/>
  <c r="E43" i="13" s="1"/>
  <c r="D31" i="13"/>
  <c r="E31" i="13" s="1"/>
  <c r="D45" i="13"/>
  <c r="E45" i="13" s="1"/>
  <c r="D33" i="13"/>
  <c r="E33" i="13" s="1"/>
  <c r="D21" i="13"/>
  <c r="E21" i="13" s="1"/>
  <c r="D46" i="13"/>
  <c r="E46" i="13" s="1"/>
  <c r="D34" i="13"/>
  <c r="E34" i="13" s="1"/>
  <c r="D47" i="13"/>
  <c r="E47" i="13" s="1"/>
  <c r="D35" i="13"/>
  <c r="E35" i="13" s="1"/>
  <c r="D23" i="13"/>
  <c r="E23" i="13" s="1"/>
  <c r="D48" i="13"/>
  <c r="E48" i="13" s="1"/>
  <c r="D49" i="13"/>
  <c r="E49" i="13" s="1"/>
  <c r="D37" i="13"/>
  <c r="E37" i="13" s="1"/>
  <c r="D25" i="13"/>
  <c r="E25" i="13" s="1"/>
  <c r="D50" i="13"/>
  <c r="E50" i="13" s="1"/>
  <c r="D39" i="13"/>
  <c r="E39" i="13" s="1"/>
  <c r="D27" i="13"/>
  <c r="E27" i="13" s="1"/>
  <c r="D41" i="13"/>
  <c r="E41" i="13" s="1"/>
  <c r="D29" i="13"/>
  <c r="E29" i="13" s="1"/>
  <c r="D32" i="13"/>
  <c r="E32" i="13" s="1"/>
  <c r="D30" i="13"/>
  <c r="E30" i="13" s="1"/>
  <c r="D24" i="13"/>
  <c r="E24" i="13" s="1"/>
  <c r="D22" i="13"/>
  <c r="E22" i="13" s="1"/>
  <c r="D44" i="13"/>
  <c r="E44" i="13" s="1"/>
  <c r="I7" i="13"/>
  <c r="D26" i="13"/>
  <c r="E26" i="13" s="1"/>
  <c r="D40" i="13"/>
  <c r="E40" i="13" s="1"/>
  <c r="D28" i="13"/>
  <c r="E28" i="13" s="1"/>
  <c r="D38" i="13"/>
  <c r="E38" i="13" s="1"/>
  <c r="F12" i="2"/>
  <c r="D36" i="13"/>
  <c r="E36" i="13" s="1"/>
  <c r="C40" i="13"/>
  <c r="E10" i="11"/>
  <c r="D40" i="3"/>
  <c r="E40" i="3" s="1"/>
  <c r="D28" i="3"/>
  <c r="E28" i="3" s="1"/>
  <c r="D41" i="3"/>
  <c r="E41" i="3" s="1"/>
  <c r="D29" i="3"/>
  <c r="E29" i="3" s="1"/>
  <c r="D44" i="3"/>
  <c r="E44" i="3" s="1"/>
  <c r="D39" i="3"/>
  <c r="E39" i="3" s="1"/>
  <c r="D24" i="3"/>
  <c r="E24" i="3" s="1"/>
  <c r="D49" i="3"/>
  <c r="E49" i="3" s="1"/>
  <c r="D45" i="3"/>
  <c r="E45" i="3" s="1"/>
  <c r="D35" i="3"/>
  <c r="E35" i="3" s="1"/>
  <c r="D30" i="3"/>
  <c r="E30" i="3" s="1"/>
  <c r="D50" i="3"/>
  <c r="E50" i="3" s="1"/>
  <c r="D25" i="3"/>
  <c r="E25" i="3" s="1"/>
  <c r="D23" i="3"/>
  <c r="E23" i="3" s="1"/>
  <c r="F2" i="2"/>
  <c r="I7" i="3"/>
  <c r="D31" i="3"/>
  <c r="E31" i="3" s="1"/>
  <c r="D27" i="3"/>
  <c r="E27" i="3" s="1"/>
  <c r="D48" i="3"/>
  <c r="E48" i="3" s="1"/>
  <c r="D26" i="3"/>
  <c r="E26" i="3" s="1"/>
  <c r="J7" i="3"/>
  <c r="D42" i="3"/>
  <c r="E42" i="3" s="1"/>
  <c r="D33" i="3"/>
  <c r="E33" i="3" s="1"/>
  <c r="D22" i="3"/>
  <c r="E22" i="3" s="1"/>
  <c r="D47" i="3"/>
  <c r="E47" i="3" s="1"/>
  <c r="D21" i="3"/>
  <c r="E21" i="3" s="1"/>
  <c r="D46" i="3"/>
  <c r="E46" i="3" s="1"/>
  <c r="D37" i="3"/>
  <c r="E37" i="3" s="1"/>
  <c r="D43" i="3"/>
  <c r="E43" i="3" s="1"/>
  <c r="D38" i="3"/>
  <c r="E38" i="3" s="1"/>
  <c r="D36" i="3"/>
  <c r="E36" i="3" s="1"/>
  <c r="D34" i="3"/>
  <c r="E34" i="3" s="1"/>
  <c r="D32" i="3"/>
  <c r="E32" i="3" s="1"/>
  <c r="E10" i="5"/>
  <c r="C21" i="5"/>
  <c r="K34" i="12"/>
  <c r="L34" i="12" s="1"/>
  <c r="C38" i="13"/>
  <c r="F50" i="8"/>
  <c r="J50" i="8" s="1"/>
  <c r="K50" i="8" s="1"/>
  <c r="L50" i="8" s="1"/>
  <c r="F44" i="8"/>
  <c r="J44" i="8" s="1"/>
  <c r="K44" i="8" s="1"/>
  <c r="L44" i="8" s="1"/>
  <c r="F34" i="8"/>
  <c r="J34" i="8" s="1"/>
  <c r="K34" i="8" s="1"/>
  <c r="L34" i="8" s="1"/>
  <c r="F45" i="8"/>
  <c r="J45" i="8" s="1"/>
  <c r="K45" i="8" s="1"/>
  <c r="L45" i="8" s="1"/>
  <c r="F49" i="8"/>
  <c r="J49" i="8" s="1"/>
  <c r="K49" i="8" s="1"/>
  <c r="L49" i="8" s="1"/>
  <c r="F41" i="8"/>
  <c r="J41" i="8" s="1"/>
  <c r="K41" i="8" s="1"/>
  <c r="L41" i="8" s="1"/>
  <c r="F26" i="8"/>
  <c r="J26" i="8" s="1"/>
  <c r="K26" i="8" s="1"/>
  <c r="L26" i="8" s="1"/>
  <c r="F35" i="8"/>
  <c r="J35" i="8" s="1"/>
  <c r="K35" i="8" s="1"/>
  <c r="L35" i="8" s="1"/>
  <c r="F27" i="8"/>
  <c r="J27" i="8" s="1"/>
  <c r="F40" i="8"/>
  <c r="J40" i="8" s="1"/>
  <c r="F32" i="8"/>
  <c r="J32" i="8" s="1"/>
  <c r="K32" i="8" s="1"/>
  <c r="L32" i="8" s="1"/>
  <c r="F39" i="8"/>
  <c r="J39" i="8" s="1"/>
  <c r="F36" i="8"/>
  <c r="J36" i="8" s="1"/>
  <c r="K36" i="8" s="1"/>
  <c r="L36" i="8" s="1"/>
  <c r="F25" i="8"/>
  <c r="J25" i="8" s="1"/>
  <c r="K25" i="8" s="1"/>
  <c r="L25" i="8" s="1"/>
  <c r="F21" i="8"/>
  <c r="J21" i="8" s="1"/>
  <c r="K21" i="8" s="1"/>
  <c r="L21" i="8" s="1"/>
  <c r="F42" i="8"/>
  <c r="J42" i="8" s="1"/>
  <c r="K42" i="8" s="1"/>
  <c r="L42" i="8" s="1"/>
  <c r="F30" i="8"/>
  <c r="J30" i="8" s="1"/>
  <c r="K30" i="8" s="1"/>
  <c r="L30" i="8" s="1"/>
  <c r="F47" i="8"/>
  <c r="J47" i="8" s="1"/>
  <c r="K47" i="8" s="1"/>
  <c r="L47" i="8" s="1"/>
  <c r="F33" i="8"/>
  <c r="J33" i="8" s="1"/>
  <c r="K33" i="8" s="1"/>
  <c r="L33" i="8" s="1"/>
  <c r="F22" i="8"/>
  <c r="J22" i="8" s="1"/>
  <c r="K22" i="8" s="1"/>
  <c r="L22" i="8" s="1"/>
  <c r="F37" i="8"/>
  <c r="J37" i="8" s="1"/>
  <c r="K37" i="8" s="1"/>
  <c r="L37" i="8" s="1"/>
  <c r="F43" i="8"/>
  <c r="J43" i="8" s="1"/>
  <c r="K43" i="8" s="1"/>
  <c r="L43" i="8" s="1"/>
  <c r="F23" i="8"/>
  <c r="J23" i="8" s="1"/>
  <c r="E9" i="8" s="1"/>
  <c r="F31" i="8"/>
  <c r="J31" i="8" s="1"/>
  <c r="K31" i="8" s="1"/>
  <c r="L31" i="8" s="1"/>
  <c r="F48" i="8"/>
  <c r="J48" i="8" s="1"/>
  <c r="K48" i="8" s="1"/>
  <c r="L48" i="8" s="1"/>
  <c r="F46" i="8"/>
  <c r="J46" i="8" s="1"/>
  <c r="K46" i="8" s="1"/>
  <c r="L46" i="8" s="1"/>
  <c r="F29" i="8"/>
  <c r="J29" i="8" s="1"/>
  <c r="K29" i="8" s="1"/>
  <c r="L29" i="8" s="1"/>
  <c r="F24" i="8"/>
  <c r="J24" i="8" s="1"/>
  <c r="K24" i="8" s="1"/>
  <c r="L24" i="8" s="1"/>
  <c r="F28" i="8"/>
  <c r="J28" i="8" s="1"/>
  <c r="F38" i="8"/>
  <c r="J38" i="8" s="1"/>
  <c r="K38" i="8" s="1"/>
  <c r="L38" i="8" s="1"/>
  <c r="C29" i="5"/>
  <c r="E10" i="12"/>
  <c r="C39" i="13"/>
  <c r="C42" i="13"/>
  <c r="K37" i="12"/>
  <c r="L37" i="12" s="1"/>
  <c r="C21" i="13"/>
  <c r="C36" i="13"/>
  <c r="C41" i="13"/>
  <c r="D41" i="11"/>
  <c r="E41" i="11" s="1"/>
  <c r="D29" i="11"/>
  <c r="E29" i="11" s="1"/>
  <c r="I7" i="11"/>
  <c r="D33" i="11"/>
  <c r="E33" i="11" s="1"/>
  <c r="D34" i="11"/>
  <c r="E34" i="11" s="1"/>
  <c r="D27" i="11"/>
  <c r="E27" i="11" s="1"/>
  <c r="D45" i="11"/>
  <c r="E45" i="11" s="1"/>
  <c r="D26" i="11"/>
  <c r="E26" i="11" s="1"/>
  <c r="D49" i="11"/>
  <c r="E49" i="11" s="1"/>
  <c r="D37" i="11"/>
  <c r="E37" i="11" s="1"/>
  <c r="D30" i="11"/>
  <c r="E30" i="11" s="1"/>
  <c r="D44" i="11"/>
  <c r="E44" i="11" s="1"/>
  <c r="D38" i="11"/>
  <c r="E38" i="11" s="1"/>
  <c r="D21" i="11"/>
  <c r="E21" i="11" s="1"/>
  <c r="D46" i="11"/>
  <c r="E46" i="11" s="1"/>
  <c r="D32" i="11"/>
  <c r="E32" i="11" s="1"/>
  <c r="D28" i="11"/>
  <c r="E28" i="11" s="1"/>
  <c r="D35" i="11"/>
  <c r="E35" i="11" s="1"/>
  <c r="D50" i="11"/>
  <c r="E50" i="11" s="1"/>
  <c r="D42" i="11"/>
  <c r="E42" i="11" s="1"/>
  <c r="C33" i="11"/>
  <c r="C22" i="11"/>
  <c r="C44" i="11"/>
  <c r="C42" i="11"/>
  <c r="D48" i="11"/>
  <c r="E48" i="11" s="1"/>
  <c r="D43" i="11"/>
  <c r="E43" i="11" s="1"/>
  <c r="C27" i="11"/>
  <c r="E16" i="11" s="1"/>
  <c r="I16" i="11" s="1"/>
  <c r="D24" i="11"/>
  <c r="E24" i="11" s="1"/>
  <c r="D36" i="11"/>
  <c r="E36" i="11" s="1"/>
  <c r="D39" i="11"/>
  <c r="E39" i="11" s="1"/>
  <c r="C36" i="11"/>
  <c r="D23" i="11"/>
  <c r="E23" i="11" s="1"/>
  <c r="D47" i="11"/>
  <c r="E47" i="11" s="1"/>
  <c r="D31" i="11"/>
  <c r="E31" i="11" s="1"/>
  <c r="D40" i="11"/>
  <c r="E40" i="11" s="1"/>
  <c r="C31" i="11"/>
  <c r="C34" i="11"/>
  <c r="D25" i="11"/>
  <c r="E25" i="11" s="1"/>
  <c r="D22" i="11"/>
  <c r="E22" i="11" s="1"/>
  <c r="C29" i="11"/>
  <c r="F10" i="2"/>
  <c r="C43" i="11"/>
  <c r="K40" i="9"/>
  <c r="L40" i="9" s="1"/>
  <c r="C30" i="5"/>
  <c r="K27" i="8"/>
  <c r="L27" i="8" s="1"/>
  <c r="F50" i="10"/>
  <c r="J50" i="10" s="1"/>
  <c r="K50" i="10" s="1"/>
  <c r="L50" i="10" s="1"/>
  <c r="F38" i="10"/>
  <c r="J38" i="10" s="1"/>
  <c r="K38" i="10" s="1"/>
  <c r="L38" i="10" s="1"/>
  <c r="K28" i="8"/>
  <c r="L28" i="8" s="1"/>
  <c r="E10" i="13"/>
  <c r="K39" i="8"/>
  <c r="L39" i="8" s="1"/>
  <c r="E10" i="8"/>
  <c r="C27" i="13"/>
  <c r="E16" i="13" s="1"/>
  <c r="I16" i="13" s="1"/>
  <c r="D44" i="4"/>
  <c r="E44" i="4" s="1"/>
  <c r="D32" i="4"/>
  <c r="E32" i="4" s="1"/>
  <c r="D45" i="4"/>
  <c r="E45" i="4" s="1"/>
  <c r="D33" i="4"/>
  <c r="E33" i="4" s="1"/>
  <c r="D21" i="4"/>
  <c r="E21" i="4" s="1"/>
  <c r="D26" i="4"/>
  <c r="E26" i="4" s="1"/>
  <c r="D46" i="4"/>
  <c r="E46" i="4" s="1"/>
  <c r="D36" i="4"/>
  <c r="E36" i="4" s="1"/>
  <c r="D31" i="4"/>
  <c r="E31" i="4" s="1"/>
  <c r="D28" i="4"/>
  <c r="E28" i="4" s="1"/>
  <c r="D25" i="4"/>
  <c r="E25" i="4" s="1"/>
  <c r="D22" i="4"/>
  <c r="E22" i="4" s="1"/>
  <c r="D35" i="4"/>
  <c r="E35" i="4" s="1"/>
  <c r="D49" i="4"/>
  <c r="E49" i="4" s="1"/>
  <c r="J7" i="4"/>
  <c r="D42" i="4"/>
  <c r="E42" i="4" s="1"/>
  <c r="I7" i="4"/>
  <c r="D34" i="4"/>
  <c r="E34" i="4" s="1"/>
  <c r="D24" i="4"/>
  <c r="E24" i="4" s="1"/>
  <c r="D47" i="4"/>
  <c r="E47" i="4" s="1"/>
  <c r="D43" i="4"/>
  <c r="E43" i="4" s="1"/>
  <c r="D27" i="4"/>
  <c r="E27" i="4" s="1"/>
  <c r="D38" i="4"/>
  <c r="E38" i="4" s="1"/>
  <c r="D30" i="4"/>
  <c r="E30" i="4" s="1"/>
  <c r="D41" i="4"/>
  <c r="E41" i="4" s="1"/>
  <c r="D39" i="4"/>
  <c r="E39" i="4" s="1"/>
  <c r="D23" i="4"/>
  <c r="E23" i="4" s="1"/>
  <c r="F3" i="2"/>
  <c r="D29" i="4"/>
  <c r="E29" i="4" s="1"/>
  <c r="D48" i="4"/>
  <c r="E48" i="4" s="1"/>
  <c r="D40" i="4"/>
  <c r="E40" i="4" s="1"/>
  <c r="D50" i="4"/>
  <c r="E50" i="4" s="1"/>
  <c r="D37" i="4"/>
  <c r="E37" i="4" s="1"/>
  <c r="C35" i="13"/>
  <c r="C27" i="5"/>
  <c r="C32" i="13"/>
  <c r="C23" i="13"/>
  <c r="C30" i="13"/>
  <c r="C31" i="13"/>
  <c r="C48" i="13"/>
  <c r="K27" i="9"/>
  <c r="E10" i="9"/>
  <c r="K24" i="12"/>
  <c r="L24" i="12" s="1"/>
  <c r="C43" i="13"/>
  <c r="C47" i="13"/>
  <c r="C38" i="11"/>
  <c r="C26" i="11"/>
  <c r="D21" i="6"/>
  <c r="E21" i="6" s="1"/>
  <c r="I7" i="6"/>
  <c r="D22" i="6"/>
  <c r="E22" i="6" s="1"/>
  <c r="D23" i="6"/>
  <c r="E23" i="6" s="1"/>
  <c r="D25" i="6"/>
  <c r="E25" i="6" s="1"/>
  <c r="C24" i="6"/>
  <c r="C22" i="6"/>
  <c r="F5" i="2"/>
  <c r="D24" i="6"/>
  <c r="E24" i="6" s="1"/>
  <c r="J7" i="6"/>
  <c r="K36" i="9"/>
  <c r="L36" i="9" s="1"/>
  <c r="K34" i="9"/>
  <c r="L34" i="9" s="1"/>
  <c r="K37" i="9"/>
  <c r="L37" i="9" s="1"/>
  <c r="C28" i="5"/>
  <c r="C26" i="5"/>
  <c r="K40" i="8"/>
  <c r="L40" i="8" s="1"/>
  <c r="F26" i="10" l="1"/>
  <c r="J26" i="10" s="1"/>
  <c r="K26" i="10" s="1"/>
  <c r="L26" i="10" s="1"/>
  <c r="F43" i="10"/>
  <c r="J43" i="10" s="1"/>
  <c r="K43" i="10" s="1"/>
  <c r="L43" i="10" s="1"/>
  <c r="F37" i="10"/>
  <c r="J37" i="10" s="1"/>
  <c r="K37" i="10" s="1"/>
  <c r="L37" i="10" s="1"/>
  <c r="F27" i="10"/>
  <c r="J27" i="10" s="1"/>
  <c r="F34" i="10"/>
  <c r="J34" i="10" s="1"/>
  <c r="K34" i="10" s="1"/>
  <c r="L34" i="10" s="1"/>
  <c r="F35" i="10"/>
  <c r="J35" i="10" s="1"/>
  <c r="K35" i="10" s="1"/>
  <c r="L35" i="10" s="1"/>
  <c r="F32" i="10"/>
  <c r="J32" i="10" s="1"/>
  <c r="K32" i="10" s="1"/>
  <c r="L32" i="10" s="1"/>
  <c r="K22" i="12"/>
  <c r="F36" i="10"/>
  <c r="J36" i="10" s="1"/>
  <c r="K36" i="10" s="1"/>
  <c r="L36" i="10" s="1"/>
  <c r="F31" i="10"/>
  <c r="J31" i="10" s="1"/>
  <c r="K31" i="10" s="1"/>
  <c r="L31" i="10" s="1"/>
  <c r="F49" i="10"/>
  <c r="J49" i="10" s="1"/>
  <c r="K49" i="10" s="1"/>
  <c r="L49" i="10" s="1"/>
  <c r="F48" i="10"/>
  <c r="J48" i="10" s="1"/>
  <c r="K48" i="10" s="1"/>
  <c r="L48" i="10" s="1"/>
  <c r="F44" i="10"/>
  <c r="J44" i="10" s="1"/>
  <c r="K44" i="10" s="1"/>
  <c r="L44" i="10" s="1"/>
  <c r="F41" i="10"/>
  <c r="J41" i="10" s="1"/>
  <c r="K41" i="10" s="1"/>
  <c r="L41" i="10" s="1"/>
  <c r="F45" i="10"/>
  <c r="J45" i="10" s="1"/>
  <c r="K45" i="10" s="1"/>
  <c r="L45" i="10" s="1"/>
  <c r="F30" i="10"/>
  <c r="J30" i="10" s="1"/>
  <c r="K30" i="10" s="1"/>
  <c r="L30" i="10" s="1"/>
  <c r="I16" i="5"/>
  <c r="F25" i="10"/>
  <c r="J25" i="10" s="1"/>
  <c r="K25" i="10" s="1"/>
  <c r="L25" i="10" s="1"/>
  <c r="F40" i="10"/>
  <c r="J40" i="10" s="1"/>
  <c r="K40" i="10" s="1"/>
  <c r="L40" i="10" s="1"/>
  <c r="F23" i="10"/>
  <c r="J23" i="10" s="1"/>
  <c r="K23" i="10" s="1"/>
  <c r="L23" i="10" s="1"/>
  <c r="F22" i="10"/>
  <c r="J22" i="10" s="1"/>
  <c r="K22" i="10" s="1"/>
  <c r="L22" i="10" s="1"/>
  <c r="F39" i="10"/>
  <c r="J39" i="10" s="1"/>
  <c r="K39" i="10" s="1"/>
  <c r="L39" i="10" s="1"/>
  <c r="F42" i="10"/>
  <c r="J42" i="10" s="1"/>
  <c r="K42" i="10" s="1"/>
  <c r="L42" i="10" s="1"/>
  <c r="F21" i="10"/>
  <c r="J21" i="10" s="1"/>
  <c r="K21" i="10" s="1"/>
  <c r="L21" i="10" s="1"/>
  <c r="F33" i="10"/>
  <c r="J33" i="10" s="1"/>
  <c r="K33" i="10" s="1"/>
  <c r="L33" i="10" s="1"/>
  <c r="F46" i="10"/>
  <c r="J46" i="10" s="1"/>
  <c r="K46" i="10" s="1"/>
  <c r="L46" i="10" s="1"/>
  <c r="K23" i="8"/>
  <c r="F24" i="10"/>
  <c r="J24" i="10" s="1"/>
  <c r="K24" i="10" s="1"/>
  <c r="L24" i="10" s="1"/>
  <c r="F47" i="10"/>
  <c r="J47" i="10" s="1"/>
  <c r="K47" i="10" s="1"/>
  <c r="L47" i="10" s="1"/>
  <c r="F28" i="10"/>
  <c r="J28" i="10" s="1"/>
  <c r="K28" i="10" s="1"/>
  <c r="L28" i="10" s="1"/>
  <c r="E11" i="8"/>
  <c r="L23" i="8"/>
  <c r="E13" i="8" s="1"/>
  <c r="I10" i="10"/>
  <c r="H9" i="2"/>
  <c r="F42" i="3"/>
  <c r="J42" i="3" s="1"/>
  <c r="K42" i="3" s="1"/>
  <c r="L42" i="3" s="1"/>
  <c r="F30" i="3"/>
  <c r="J30" i="3" s="1"/>
  <c r="K30" i="3" s="1"/>
  <c r="L30" i="3" s="1"/>
  <c r="F43" i="3"/>
  <c r="J43" i="3" s="1"/>
  <c r="K43" i="3" s="1"/>
  <c r="L43" i="3" s="1"/>
  <c r="F31" i="3"/>
  <c r="J31" i="3" s="1"/>
  <c r="K31" i="3" s="1"/>
  <c r="L31" i="3" s="1"/>
  <c r="F35" i="3"/>
  <c r="J35" i="3" s="1"/>
  <c r="K35" i="3" s="1"/>
  <c r="L35" i="3" s="1"/>
  <c r="F50" i="3"/>
  <c r="J50" i="3" s="1"/>
  <c r="K50" i="3" s="1"/>
  <c r="L50" i="3" s="1"/>
  <c r="F40" i="3"/>
  <c r="J40" i="3" s="1"/>
  <c r="K40" i="3" s="1"/>
  <c r="L40" i="3" s="1"/>
  <c r="F25" i="3"/>
  <c r="J25" i="3" s="1"/>
  <c r="K25" i="3" s="1"/>
  <c r="L25" i="3" s="1"/>
  <c r="F46" i="3"/>
  <c r="J46" i="3" s="1"/>
  <c r="K46" i="3" s="1"/>
  <c r="L46" i="3" s="1"/>
  <c r="F36" i="3"/>
  <c r="J36" i="3" s="1"/>
  <c r="K36" i="3" s="1"/>
  <c r="L36" i="3" s="1"/>
  <c r="F26" i="3"/>
  <c r="J26" i="3" s="1"/>
  <c r="K26" i="3" s="1"/>
  <c r="L26" i="3" s="1"/>
  <c r="F21" i="3"/>
  <c r="J21" i="3" s="1"/>
  <c r="F34" i="3"/>
  <c r="J34" i="3" s="1"/>
  <c r="K34" i="3" s="1"/>
  <c r="L34" i="3" s="1"/>
  <c r="F24" i="3"/>
  <c r="J24" i="3" s="1"/>
  <c r="K24" i="3" s="1"/>
  <c r="L24" i="3" s="1"/>
  <c r="F41" i="3"/>
  <c r="J41" i="3" s="1"/>
  <c r="K41" i="3" s="1"/>
  <c r="L41" i="3" s="1"/>
  <c r="F44" i="3"/>
  <c r="J44" i="3" s="1"/>
  <c r="K44" i="3" s="1"/>
  <c r="L44" i="3" s="1"/>
  <c r="F39" i="3"/>
  <c r="J39" i="3" s="1"/>
  <c r="K39" i="3" s="1"/>
  <c r="L39" i="3" s="1"/>
  <c r="F33" i="3"/>
  <c r="J33" i="3" s="1"/>
  <c r="K33" i="3" s="1"/>
  <c r="L33" i="3" s="1"/>
  <c r="F28" i="3"/>
  <c r="J28" i="3" s="1"/>
  <c r="K28" i="3" s="1"/>
  <c r="L28" i="3" s="1"/>
  <c r="F22" i="3"/>
  <c r="J22" i="3" s="1"/>
  <c r="K22" i="3" s="1"/>
  <c r="L22" i="3" s="1"/>
  <c r="F47" i="3"/>
  <c r="J47" i="3" s="1"/>
  <c r="K47" i="3" s="1"/>
  <c r="L47" i="3" s="1"/>
  <c r="F37" i="3"/>
  <c r="J37" i="3" s="1"/>
  <c r="K37" i="3" s="1"/>
  <c r="L37" i="3" s="1"/>
  <c r="F27" i="3"/>
  <c r="J27" i="3" s="1"/>
  <c r="K27" i="3" s="1"/>
  <c r="L27" i="3" s="1"/>
  <c r="F32" i="3"/>
  <c r="J32" i="3" s="1"/>
  <c r="K32" i="3" s="1"/>
  <c r="L32" i="3" s="1"/>
  <c r="F49" i="3"/>
  <c r="J49" i="3" s="1"/>
  <c r="K49" i="3" s="1"/>
  <c r="L49" i="3" s="1"/>
  <c r="F45" i="3"/>
  <c r="J45" i="3" s="1"/>
  <c r="K45" i="3" s="1"/>
  <c r="L45" i="3" s="1"/>
  <c r="F23" i="3"/>
  <c r="J23" i="3" s="1"/>
  <c r="K23" i="3" s="1"/>
  <c r="L23" i="3" s="1"/>
  <c r="F29" i="3"/>
  <c r="J29" i="3" s="1"/>
  <c r="K29" i="3" s="1"/>
  <c r="L29" i="3" s="1"/>
  <c r="F38" i="3"/>
  <c r="J38" i="3" s="1"/>
  <c r="K38" i="3" s="1"/>
  <c r="L38" i="3" s="1"/>
  <c r="F48" i="3"/>
  <c r="J48" i="3" s="1"/>
  <c r="K48" i="3" s="1"/>
  <c r="L48" i="3" s="1"/>
  <c r="I10" i="11"/>
  <c r="H10" i="2"/>
  <c r="F46" i="4"/>
  <c r="J46" i="4" s="1"/>
  <c r="K46" i="4" s="1"/>
  <c r="L46" i="4" s="1"/>
  <c r="F34" i="4"/>
  <c r="J34" i="4" s="1"/>
  <c r="K34" i="4" s="1"/>
  <c r="L34" i="4" s="1"/>
  <c r="F22" i="4"/>
  <c r="J22" i="4" s="1"/>
  <c r="K22" i="4" s="1"/>
  <c r="L22" i="4" s="1"/>
  <c r="F47" i="4"/>
  <c r="J47" i="4" s="1"/>
  <c r="K47" i="4" s="1"/>
  <c r="L47" i="4" s="1"/>
  <c r="F35" i="4"/>
  <c r="J35" i="4" s="1"/>
  <c r="K35" i="4" s="1"/>
  <c r="L35" i="4" s="1"/>
  <c r="F23" i="4"/>
  <c r="J23" i="4" s="1"/>
  <c r="K23" i="4" s="1"/>
  <c r="L23" i="4" s="1"/>
  <c r="F41" i="4"/>
  <c r="J41" i="4" s="1"/>
  <c r="K41" i="4" s="1"/>
  <c r="L41" i="4" s="1"/>
  <c r="F37" i="4"/>
  <c r="J37" i="4" s="1"/>
  <c r="K37" i="4" s="1"/>
  <c r="L37" i="4" s="1"/>
  <c r="F21" i="4"/>
  <c r="J21" i="4" s="1"/>
  <c r="K21" i="4" s="1"/>
  <c r="L21" i="4" s="1"/>
  <c r="F27" i="4"/>
  <c r="J27" i="4" s="1"/>
  <c r="K27" i="4" s="1"/>
  <c r="L27" i="4" s="1"/>
  <c r="F49" i="4"/>
  <c r="J49" i="4" s="1"/>
  <c r="K49" i="4" s="1"/>
  <c r="L49" i="4" s="1"/>
  <c r="F45" i="4"/>
  <c r="J45" i="4" s="1"/>
  <c r="K45" i="4" s="1"/>
  <c r="L45" i="4" s="1"/>
  <c r="F42" i="4"/>
  <c r="J42" i="4" s="1"/>
  <c r="K42" i="4" s="1"/>
  <c r="L42" i="4" s="1"/>
  <c r="F32" i="4"/>
  <c r="J32" i="4" s="1"/>
  <c r="K32" i="4" s="1"/>
  <c r="L32" i="4" s="1"/>
  <c r="F39" i="4"/>
  <c r="J39" i="4" s="1"/>
  <c r="K39" i="4" s="1"/>
  <c r="L39" i="4" s="1"/>
  <c r="F43" i="4"/>
  <c r="J43" i="4" s="1"/>
  <c r="K43" i="4" s="1"/>
  <c r="L43" i="4" s="1"/>
  <c r="F36" i="4"/>
  <c r="J36" i="4" s="1"/>
  <c r="K36" i="4" s="1"/>
  <c r="L36" i="4" s="1"/>
  <c r="F29" i="4"/>
  <c r="J29" i="4" s="1"/>
  <c r="K29" i="4" s="1"/>
  <c r="L29" i="4" s="1"/>
  <c r="F26" i="4"/>
  <c r="J26" i="4" s="1"/>
  <c r="K26" i="4" s="1"/>
  <c r="L26" i="4" s="1"/>
  <c r="F38" i="4"/>
  <c r="J38" i="4" s="1"/>
  <c r="K38" i="4" s="1"/>
  <c r="L38" i="4" s="1"/>
  <c r="F25" i="4"/>
  <c r="J25" i="4" s="1"/>
  <c r="F31" i="4"/>
  <c r="J31" i="4" s="1"/>
  <c r="K31" i="4" s="1"/>
  <c r="L31" i="4" s="1"/>
  <c r="F50" i="4"/>
  <c r="J50" i="4" s="1"/>
  <c r="K50" i="4" s="1"/>
  <c r="L50" i="4" s="1"/>
  <c r="F28" i="4"/>
  <c r="J28" i="4" s="1"/>
  <c r="K28" i="4" s="1"/>
  <c r="L28" i="4" s="1"/>
  <c r="F44" i="4"/>
  <c r="J44" i="4" s="1"/>
  <c r="K44" i="4" s="1"/>
  <c r="L44" i="4" s="1"/>
  <c r="F40" i="4"/>
  <c r="J40" i="4" s="1"/>
  <c r="K40" i="4" s="1"/>
  <c r="L40" i="4" s="1"/>
  <c r="F30" i="4"/>
  <c r="J30" i="4" s="1"/>
  <c r="K30" i="4" s="1"/>
  <c r="L30" i="4" s="1"/>
  <c r="F24" i="4"/>
  <c r="J24" i="4" s="1"/>
  <c r="K24" i="4" s="1"/>
  <c r="L24" i="4" s="1"/>
  <c r="F33" i="4"/>
  <c r="J33" i="4" s="1"/>
  <c r="K33" i="4" s="1"/>
  <c r="L33" i="4" s="1"/>
  <c r="F48" i="4"/>
  <c r="J48" i="4" s="1"/>
  <c r="K48" i="4" s="1"/>
  <c r="L48" i="4" s="1"/>
  <c r="J10" i="7"/>
  <c r="I10" i="7"/>
  <c r="H6" i="2"/>
  <c r="I10" i="12"/>
  <c r="J10" i="12"/>
  <c r="H11" i="2"/>
  <c r="J9" i="8"/>
  <c r="I9" i="8"/>
  <c r="G7" i="2"/>
  <c r="I10" i="3"/>
  <c r="J10" i="3"/>
  <c r="H2" i="2"/>
  <c r="F44" i="13"/>
  <c r="J44" i="13" s="1"/>
  <c r="K44" i="13" s="1"/>
  <c r="L44" i="13" s="1"/>
  <c r="F45" i="13"/>
  <c r="J45" i="13" s="1"/>
  <c r="K45" i="13" s="1"/>
  <c r="L45" i="13" s="1"/>
  <c r="F33" i="13"/>
  <c r="J33" i="13" s="1"/>
  <c r="K33" i="13" s="1"/>
  <c r="L33" i="13" s="1"/>
  <c r="F21" i="13"/>
  <c r="J21" i="13" s="1"/>
  <c r="K21" i="13" s="1"/>
  <c r="L21" i="13" s="1"/>
  <c r="F47" i="13"/>
  <c r="J47" i="13" s="1"/>
  <c r="K47" i="13" s="1"/>
  <c r="L47" i="13" s="1"/>
  <c r="F35" i="13"/>
  <c r="J35" i="13" s="1"/>
  <c r="K35" i="13" s="1"/>
  <c r="L35" i="13" s="1"/>
  <c r="F23" i="13"/>
  <c r="J23" i="13" s="1"/>
  <c r="K23" i="13" s="1"/>
  <c r="L23" i="13" s="1"/>
  <c r="F48" i="13"/>
  <c r="J48" i="13" s="1"/>
  <c r="K48" i="13" s="1"/>
  <c r="L48" i="13" s="1"/>
  <c r="F36" i="13"/>
  <c r="J36" i="13" s="1"/>
  <c r="K36" i="13" s="1"/>
  <c r="L36" i="13" s="1"/>
  <c r="F49" i="13"/>
  <c r="J49" i="13" s="1"/>
  <c r="K49" i="13" s="1"/>
  <c r="L49" i="13" s="1"/>
  <c r="F37" i="13"/>
  <c r="J37" i="13" s="1"/>
  <c r="K37" i="13" s="1"/>
  <c r="L37" i="13" s="1"/>
  <c r="F25" i="13"/>
  <c r="J25" i="13" s="1"/>
  <c r="K25" i="13" s="1"/>
  <c r="L25" i="13" s="1"/>
  <c r="F50" i="13"/>
  <c r="J50" i="13" s="1"/>
  <c r="K50" i="13" s="1"/>
  <c r="L50" i="13" s="1"/>
  <c r="F39" i="13"/>
  <c r="J39" i="13" s="1"/>
  <c r="K39" i="13" s="1"/>
  <c r="L39" i="13" s="1"/>
  <c r="F27" i="13"/>
  <c r="J27" i="13" s="1"/>
  <c r="F41" i="13"/>
  <c r="J41" i="13" s="1"/>
  <c r="K41" i="13" s="1"/>
  <c r="L41" i="13" s="1"/>
  <c r="F29" i="13"/>
  <c r="J29" i="13" s="1"/>
  <c r="K29" i="13" s="1"/>
  <c r="L29" i="13" s="1"/>
  <c r="F43" i="13"/>
  <c r="J43" i="13" s="1"/>
  <c r="K43" i="13" s="1"/>
  <c r="L43" i="13" s="1"/>
  <c r="F31" i="13"/>
  <c r="J31" i="13" s="1"/>
  <c r="K31" i="13" s="1"/>
  <c r="L31" i="13" s="1"/>
  <c r="F42" i="13"/>
  <c r="J42" i="13" s="1"/>
  <c r="K42" i="13" s="1"/>
  <c r="L42" i="13" s="1"/>
  <c r="F28" i="13"/>
  <c r="J28" i="13" s="1"/>
  <c r="K28" i="13" s="1"/>
  <c r="L28" i="13" s="1"/>
  <c r="F26" i="13"/>
  <c r="J26" i="13" s="1"/>
  <c r="K26" i="13" s="1"/>
  <c r="L26" i="13" s="1"/>
  <c r="F34" i="13"/>
  <c r="J34" i="13" s="1"/>
  <c r="K34" i="13" s="1"/>
  <c r="L34" i="13" s="1"/>
  <c r="F22" i="13"/>
  <c r="J22" i="13" s="1"/>
  <c r="K22" i="13" s="1"/>
  <c r="L22" i="13" s="1"/>
  <c r="F38" i="13"/>
  <c r="J38" i="13" s="1"/>
  <c r="K38" i="13" s="1"/>
  <c r="L38" i="13" s="1"/>
  <c r="F40" i="13"/>
  <c r="J40" i="13" s="1"/>
  <c r="K40" i="13" s="1"/>
  <c r="L40" i="13" s="1"/>
  <c r="F46" i="13"/>
  <c r="J46" i="13" s="1"/>
  <c r="K46" i="13" s="1"/>
  <c r="L46" i="13" s="1"/>
  <c r="F30" i="13"/>
  <c r="J30" i="13" s="1"/>
  <c r="K30" i="13" s="1"/>
  <c r="L30" i="13" s="1"/>
  <c r="F32" i="13"/>
  <c r="J32" i="13" s="1"/>
  <c r="K32" i="13" s="1"/>
  <c r="L32" i="13" s="1"/>
  <c r="F24" i="13"/>
  <c r="J24" i="13" s="1"/>
  <c r="K24" i="13" s="1"/>
  <c r="L24" i="13" s="1"/>
  <c r="L22" i="12"/>
  <c r="E13" i="12" s="1"/>
  <c r="E11" i="12"/>
  <c r="I10" i="9"/>
  <c r="H8" i="2"/>
  <c r="I9" i="12"/>
  <c r="J9" i="12"/>
  <c r="G11" i="2"/>
  <c r="I9" i="9"/>
  <c r="G8" i="2"/>
  <c r="I10" i="8"/>
  <c r="J10" i="8"/>
  <c r="H7" i="2"/>
  <c r="I10" i="5"/>
  <c r="H4" i="2"/>
  <c r="J10" i="5"/>
  <c r="F45" i="5"/>
  <c r="J45" i="5" s="1"/>
  <c r="K45" i="5" s="1"/>
  <c r="L45" i="5" s="1"/>
  <c r="F33" i="5"/>
  <c r="J33" i="5" s="1"/>
  <c r="K33" i="5" s="1"/>
  <c r="L33" i="5" s="1"/>
  <c r="F21" i="5"/>
  <c r="J21" i="5" s="1"/>
  <c r="K21" i="5" s="1"/>
  <c r="L21" i="5" s="1"/>
  <c r="F46" i="5"/>
  <c r="J46" i="5" s="1"/>
  <c r="K46" i="5" s="1"/>
  <c r="L46" i="5" s="1"/>
  <c r="F34" i="5"/>
  <c r="J34" i="5" s="1"/>
  <c r="K34" i="5" s="1"/>
  <c r="L34" i="5" s="1"/>
  <c r="F22" i="5"/>
  <c r="J22" i="5" s="1"/>
  <c r="K22" i="5" s="1"/>
  <c r="L22" i="5" s="1"/>
  <c r="F31" i="5"/>
  <c r="J31" i="5" s="1"/>
  <c r="K31" i="5" s="1"/>
  <c r="L31" i="5" s="1"/>
  <c r="F47" i="5"/>
  <c r="J47" i="5" s="1"/>
  <c r="K47" i="5" s="1"/>
  <c r="L47" i="5" s="1"/>
  <c r="F41" i="5"/>
  <c r="J41" i="5" s="1"/>
  <c r="K41" i="5" s="1"/>
  <c r="L41" i="5" s="1"/>
  <c r="F37" i="5"/>
  <c r="J37" i="5" s="1"/>
  <c r="K37" i="5" s="1"/>
  <c r="L37" i="5" s="1"/>
  <c r="F27" i="5"/>
  <c r="J27" i="5" s="1"/>
  <c r="K27" i="5" s="1"/>
  <c r="L27" i="5" s="1"/>
  <c r="F38" i="5"/>
  <c r="J38" i="5" s="1"/>
  <c r="K38" i="5" s="1"/>
  <c r="L38" i="5" s="1"/>
  <c r="F49" i="5"/>
  <c r="J49" i="5" s="1"/>
  <c r="K49" i="5" s="1"/>
  <c r="L49" i="5" s="1"/>
  <c r="F35" i="5"/>
  <c r="J35" i="5" s="1"/>
  <c r="K35" i="5" s="1"/>
  <c r="L35" i="5" s="1"/>
  <c r="F30" i="5"/>
  <c r="J30" i="5" s="1"/>
  <c r="K30" i="5" s="1"/>
  <c r="L30" i="5" s="1"/>
  <c r="F44" i="5"/>
  <c r="J44" i="5" s="1"/>
  <c r="K44" i="5" s="1"/>
  <c r="L44" i="5" s="1"/>
  <c r="F25" i="5"/>
  <c r="J25" i="5" s="1"/>
  <c r="F39" i="5"/>
  <c r="J39" i="5" s="1"/>
  <c r="K39" i="5" s="1"/>
  <c r="L39" i="5" s="1"/>
  <c r="F36" i="5"/>
  <c r="J36" i="5" s="1"/>
  <c r="K36" i="5" s="1"/>
  <c r="L36" i="5" s="1"/>
  <c r="F29" i="5"/>
  <c r="J29" i="5" s="1"/>
  <c r="K29" i="5" s="1"/>
  <c r="L29" i="5" s="1"/>
  <c r="F26" i="5"/>
  <c r="J26" i="5" s="1"/>
  <c r="K26" i="5" s="1"/>
  <c r="L26" i="5" s="1"/>
  <c r="F23" i="5"/>
  <c r="J23" i="5" s="1"/>
  <c r="K23" i="5" s="1"/>
  <c r="L23" i="5" s="1"/>
  <c r="F43" i="5"/>
  <c r="J43" i="5" s="1"/>
  <c r="K43" i="5" s="1"/>
  <c r="L43" i="5" s="1"/>
  <c r="F32" i="5"/>
  <c r="J32" i="5" s="1"/>
  <c r="K32" i="5" s="1"/>
  <c r="L32" i="5" s="1"/>
  <c r="F24" i="5"/>
  <c r="J24" i="5" s="1"/>
  <c r="K24" i="5" s="1"/>
  <c r="L24" i="5" s="1"/>
  <c r="F48" i="5"/>
  <c r="J48" i="5" s="1"/>
  <c r="K48" i="5" s="1"/>
  <c r="L48" i="5" s="1"/>
  <c r="F42" i="5"/>
  <c r="J42" i="5" s="1"/>
  <c r="K42" i="5" s="1"/>
  <c r="L42" i="5" s="1"/>
  <c r="F40" i="5"/>
  <c r="J40" i="5" s="1"/>
  <c r="K40" i="5" s="1"/>
  <c r="L40" i="5" s="1"/>
  <c r="F28" i="5"/>
  <c r="J28" i="5" s="1"/>
  <c r="K28" i="5" s="1"/>
  <c r="L28" i="5" s="1"/>
  <c r="F50" i="5"/>
  <c r="J50" i="5" s="1"/>
  <c r="K50" i="5" s="1"/>
  <c r="L50" i="5" s="1"/>
  <c r="I10" i="6"/>
  <c r="J10" i="6"/>
  <c r="H5" i="2"/>
  <c r="H12" i="2"/>
  <c r="I10" i="13"/>
  <c r="I10" i="4"/>
  <c r="H3" i="2"/>
  <c r="J10" i="4"/>
  <c r="F43" i="11"/>
  <c r="J43" i="11" s="1"/>
  <c r="K43" i="11" s="1"/>
  <c r="L43" i="11" s="1"/>
  <c r="F31" i="11"/>
  <c r="J31" i="11" s="1"/>
  <c r="K31" i="11" s="1"/>
  <c r="L31" i="11" s="1"/>
  <c r="F34" i="11"/>
  <c r="J34" i="11" s="1"/>
  <c r="K34" i="11" s="1"/>
  <c r="L34" i="11" s="1"/>
  <c r="F27" i="11"/>
  <c r="J27" i="11" s="1"/>
  <c r="F35" i="11"/>
  <c r="J35" i="11" s="1"/>
  <c r="K35" i="11" s="1"/>
  <c r="L35" i="11" s="1"/>
  <c r="F28" i="11"/>
  <c r="J28" i="11" s="1"/>
  <c r="K28" i="11" s="1"/>
  <c r="L28" i="11" s="1"/>
  <c r="F30" i="11"/>
  <c r="J30" i="11" s="1"/>
  <c r="K30" i="11" s="1"/>
  <c r="L30" i="11" s="1"/>
  <c r="F42" i="11"/>
  <c r="J42" i="11" s="1"/>
  <c r="K42" i="11" s="1"/>
  <c r="L42" i="11" s="1"/>
  <c r="F44" i="11"/>
  <c r="J44" i="11" s="1"/>
  <c r="K44" i="11" s="1"/>
  <c r="L44" i="11" s="1"/>
  <c r="F38" i="11"/>
  <c r="J38" i="11" s="1"/>
  <c r="K38" i="11" s="1"/>
  <c r="L38" i="11" s="1"/>
  <c r="F50" i="11"/>
  <c r="J50" i="11" s="1"/>
  <c r="K50" i="11" s="1"/>
  <c r="L50" i="11" s="1"/>
  <c r="F47" i="11"/>
  <c r="J47" i="11" s="1"/>
  <c r="K47" i="11" s="1"/>
  <c r="L47" i="11" s="1"/>
  <c r="F33" i="11"/>
  <c r="J33" i="11" s="1"/>
  <c r="K33" i="11" s="1"/>
  <c r="L33" i="11" s="1"/>
  <c r="F39" i="11"/>
  <c r="J39" i="11" s="1"/>
  <c r="K39" i="11" s="1"/>
  <c r="L39" i="11" s="1"/>
  <c r="F32" i="11"/>
  <c r="J32" i="11" s="1"/>
  <c r="K32" i="11" s="1"/>
  <c r="L32" i="11" s="1"/>
  <c r="F26" i="11"/>
  <c r="J26" i="11" s="1"/>
  <c r="K26" i="11" s="1"/>
  <c r="L26" i="11" s="1"/>
  <c r="F24" i="11"/>
  <c r="J24" i="11" s="1"/>
  <c r="K24" i="11" s="1"/>
  <c r="L24" i="11" s="1"/>
  <c r="F25" i="11"/>
  <c r="J25" i="11" s="1"/>
  <c r="K25" i="11" s="1"/>
  <c r="L25" i="11" s="1"/>
  <c r="F46" i="11"/>
  <c r="J46" i="11" s="1"/>
  <c r="K46" i="11" s="1"/>
  <c r="L46" i="11" s="1"/>
  <c r="F40" i="11"/>
  <c r="J40" i="11" s="1"/>
  <c r="K40" i="11" s="1"/>
  <c r="L40" i="11" s="1"/>
  <c r="F23" i="11"/>
  <c r="J23" i="11" s="1"/>
  <c r="K23" i="11" s="1"/>
  <c r="L23" i="11" s="1"/>
  <c r="F37" i="11"/>
  <c r="J37" i="11" s="1"/>
  <c r="K37" i="11" s="1"/>
  <c r="L37" i="11" s="1"/>
  <c r="F48" i="11"/>
  <c r="J48" i="11" s="1"/>
  <c r="K48" i="11" s="1"/>
  <c r="L48" i="11" s="1"/>
  <c r="F36" i="11"/>
  <c r="J36" i="11" s="1"/>
  <c r="K36" i="11" s="1"/>
  <c r="L36" i="11" s="1"/>
  <c r="F21" i="11"/>
  <c r="J21" i="11" s="1"/>
  <c r="K21" i="11" s="1"/>
  <c r="L21" i="11" s="1"/>
  <c r="F29" i="11"/>
  <c r="J29" i="11" s="1"/>
  <c r="K29" i="11" s="1"/>
  <c r="L29" i="11" s="1"/>
  <c r="F22" i="11"/>
  <c r="J22" i="11" s="1"/>
  <c r="K22" i="11" s="1"/>
  <c r="L22" i="11" s="1"/>
  <c r="F45" i="11"/>
  <c r="J45" i="11" s="1"/>
  <c r="K45" i="11" s="1"/>
  <c r="L45" i="11" s="1"/>
  <c r="F49" i="11"/>
  <c r="J49" i="11" s="1"/>
  <c r="K49" i="11" s="1"/>
  <c r="L49" i="11" s="1"/>
  <c r="F41" i="11"/>
  <c r="J41" i="11" s="1"/>
  <c r="K41" i="11" s="1"/>
  <c r="L41" i="11" s="1"/>
  <c r="F42" i="7"/>
  <c r="J42" i="7" s="1"/>
  <c r="K42" i="7" s="1"/>
  <c r="L42" i="7" s="1"/>
  <c r="F30" i="7"/>
  <c r="J30" i="7" s="1"/>
  <c r="K30" i="7" s="1"/>
  <c r="L30" i="7" s="1"/>
  <c r="F43" i="7"/>
  <c r="J43" i="7" s="1"/>
  <c r="K43" i="7" s="1"/>
  <c r="L43" i="7" s="1"/>
  <c r="F31" i="7"/>
  <c r="J31" i="7" s="1"/>
  <c r="K31" i="7" s="1"/>
  <c r="L31" i="7" s="1"/>
  <c r="F44" i="7"/>
  <c r="J44" i="7" s="1"/>
  <c r="K44" i="7" s="1"/>
  <c r="L44" i="7" s="1"/>
  <c r="F39" i="7"/>
  <c r="J39" i="7" s="1"/>
  <c r="K39" i="7" s="1"/>
  <c r="L39" i="7" s="1"/>
  <c r="F29" i="7"/>
  <c r="J29" i="7" s="1"/>
  <c r="K29" i="7" s="1"/>
  <c r="L29" i="7" s="1"/>
  <c r="F48" i="7"/>
  <c r="J48" i="7" s="1"/>
  <c r="K48" i="7" s="1"/>
  <c r="L48" i="7" s="1"/>
  <c r="F45" i="7"/>
  <c r="J45" i="7" s="1"/>
  <c r="K45" i="7" s="1"/>
  <c r="L45" i="7" s="1"/>
  <c r="F37" i="7"/>
  <c r="J37" i="7" s="1"/>
  <c r="K37" i="7" s="1"/>
  <c r="L37" i="7" s="1"/>
  <c r="F22" i="7"/>
  <c r="J22" i="7" s="1"/>
  <c r="F41" i="7"/>
  <c r="J41" i="7" s="1"/>
  <c r="K41" i="7" s="1"/>
  <c r="L41" i="7" s="1"/>
  <c r="F26" i="7"/>
  <c r="J26" i="7" s="1"/>
  <c r="K26" i="7" s="1"/>
  <c r="L26" i="7" s="1"/>
  <c r="F49" i="7"/>
  <c r="J49" i="7" s="1"/>
  <c r="K49" i="7" s="1"/>
  <c r="L49" i="7" s="1"/>
  <c r="F34" i="7"/>
  <c r="J34" i="7" s="1"/>
  <c r="K34" i="7" s="1"/>
  <c r="L34" i="7" s="1"/>
  <c r="F46" i="7"/>
  <c r="J46" i="7" s="1"/>
  <c r="K46" i="7" s="1"/>
  <c r="L46" i="7" s="1"/>
  <c r="F27" i="7"/>
  <c r="J27" i="7" s="1"/>
  <c r="K27" i="7" s="1"/>
  <c r="L27" i="7" s="1"/>
  <c r="F50" i="7"/>
  <c r="J50" i="7" s="1"/>
  <c r="K50" i="7" s="1"/>
  <c r="L50" i="7" s="1"/>
  <c r="F35" i="7"/>
  <c r="J35" i="7" s="1"/>
  <c r="K35" i="7" s="1"/>
  <c r="L35" i="7" s="1"/>
  <c r="F28" i="7"/>
  <c r="J28" i="7" s="1"/>
  <c r="K28" i="7" s="1"/>
  <c r="L28" i="7" s="1"/>
  <c r="F33" i="7"/>
  <c r="J33" i="7" s="1"/>
  <c r="K33" i="7" s="1"/>
  <c r="L33" i="7" s="1"/>
  <c r="F24" i="7"/>
  <c r="J24" i="7" s="1"/>
  <c r="K24" i="7" s="1"/>
  <c r="L24" i="7" s="1"/>
  <c r="F40" i="7"/>
  <c r="J40" i="7" s="1"/>
  <c r="K40" i="7" s="1"/>
  <c r="L40" i="7" s="1"/>
  <c r="F38" i="7"/>
  <c r="J38" i="7" s="1"/>
  <c r="K38" i="7" s="1"/>
  <c r="L38" i="7" s="1"/>
  <c r="F47" i="7"/>
  <c r="J47" i="7" s="1"/>
  <c r="K47" i="7" s="1"/>
  <c r="L47" i="7" s="1"/>
  <c r="F36" i="7"/>
  <c r="J36" i="7" s="1"/>
  <c r="K36" i="7" s="1"/>
  <c r="L36" i="7" s="1"/>
  <c r="F25" i="7"/>
  <c r="J25" i="7" s="1"/>
  <c r="K25" i="7" s="1"/>
  <c r="L25" i="7" s="1"/>
  <c r="F23" i="7"/>
  <c r="J23" i="7" s="1"/>
  <c r="K23" i="7" s="1"/>
  <c r="L23" i="7" s="1"/>
  <c r="F21" i="7"/>
  <c r="J21" i="7" s="1"/>
  <c r="K21" i="7" s="1"/>
  <c r="L21" i="7" s="1"/>
  <c r="F32" i="7"/>
  <c r="J32" i="7" s="1"/>
  <c r="K32" i="7" s="1"/>
  <c r="L32" i="7" s="1"/>
  <c r="F44" i="6"/>
  <c r="J44" i="6" s="1"/>
  <c r="K44" i="6" s="1"/>
  <c r="L44" i="6" s="1"/>
  <c r="F32" i="6"/>
  <c r="J32" i="6" s="1"/>
  <c r="K32" i="6" s="1"/>
  <c r="L32" i="6" s="1"/>
  <c r="F45" i="6"/>
  <c r="J45" i="6" s="1"/>
  <c r="K45" i="6" s="1"/>
  <c r="L45" i="6" s="1"/>
  <c r="F33" i="6"/>
  <c r="J33" i="6" s="1"/>
  <c r="K33" i="6" s="1"/>
  <c r="L33" i="6" s="1"/>
  <c r="F21" i="6"/>
  <c r="J21" i="6" s="1"/>
  <c r="K21" i="6" s="1"/>
  <c r="L21" i="6" s="1"/>
  <c r="F46" i="6"/>
  <c r="J46" i="6" s="1"/>
  <c r="K46" i="6" s="1"/>
  <c r="L46" i="6" s="1"/>
  <c r="F40" i="6"/>
  <c r="J40" i="6" s="1"/>
  <c r="K40" i="6" s="1"/>
  <c r="L40" i="6" s="1"/>
  <c r="F41" i="6"/>
  <c r="J41" i="6" s="1"/>
  <c r="K41" i="6" s="1"/>
  <c r="L41" i="6" s="1"/>
  <c r="F37" i="6"/>
  <c r="J37" i="6" s="1"/>
  <c r="K37" i="6" s="1"/>
  <c r="L37" i="6" s="1"/>
  <c r="F22" i="6"/>
  <c r="J22" i="6" s="1"/>
  <c r="K22" i="6" s="1"/>
  <c r="L22" i="6" s="1"/>
  <c r="F27" i="6"/>
  <c r="J27" i="6" s="1"/>
  <c r="F23" i="6"/>
  <c r="J23" i="6" s="1"/>
  <c r="K23" i="6" s="1"/>
  <c r="L23" i="6" s="1"/>
  <c r="F47" i="6"/>
  <c r="J47" i="6" s="1"/>
  <c r="K47" i="6" s="1"/>
  <c r="L47" i="6" s="1"/>
  <c r="F38" i="6"/>
  <c r="J38" i="6" s="1"/>
  <c r="K38" i="6" s="1"/>
  <c r="L38" i="6" s="1"/>
  <c r="F34" i="6"/>
  <c r="J34" i="6" s="1"/>
  <c r="K34" i="6" s="1"/>
  <c r="L34" i="6" s="1"/>
  <c r="F28" i="6"/>
  <c r="J28" i="6" s="1"/>
  <c r="K28" i="6" s="1"/>
  <c r="L28" i="6" s="1"/>
  <c r="F48" i="6"/>
  <c r="J48" i="6" s="1"/>
  <c r="K48" i="6" s="1"/>
  <c r="L48" i="6" s="1"/>
  <c r="F36" i="6"/>
  <c r="J36" i="6" s="1"/>
  <c r="K36" i="6" s="1"/>
  <c r="L36" i="6" s="1"/>
  <c r="F31" i="6"/>
  <c r="J31" i="6" s="1"/>
  <c r="K31" i="6" s="1"/>
  <c r="L31" i="6" s="1"/>
  <c r="F39" i="6"/>
  <c r="J39" i="6" s="1"/>
  <c r="K39" i="6" s="1"/>
  <c r="L39" i="6" s="1"/>
  <c r="F29" i="6"/>
  <c r="J29" i="6" s="1"/>
  <c r="K29" i="6" s="1"/>
  <c r="L29" i="6" s="1"/>
  <c r="F26" i="6"/>
  <c r="J26" i="6" s="1"/>
  <c r="K26" i="6" s="1"/>
  <c r="L26" i="6" s="1"/>
  <c r="F49" i="6"/>
  <c r="J49" i="6" s="1"/>
  <c r="K49" i="6" s="1"/>
  <c r="L49" i="6" s="1"/>
  <c r="F42" i="6"/>
  <c r="J42" i="6" s="1"/>
  <c r="K42" i="6" s="1"/>
  <c r="L42" i="6" s="1"/>
  <c r="F35" i="6"/>
  <c r="J35" i="6" s="1"/>
  <c r="K35" i="6" s="1"/>
  <c r="L35" i="6" s="1"/>
  <c r="F50" i="6"/>
  <c r="J50" i="6" s="1"/>
  <c r="K50" i="6" s="1"/>
  <c r="L50" i="6" s="1"/>
  <c r="F24" i="6"/>
  <c r="J24" i="6" s="1"/>
  <c r="K24" i="6" s="1"/>
  <c r="L24" i="6" s="1"/>
  <c r="F43" i="6"/>
  <c r="J43" i="6" s="1"/>
  <c r="K43" i="6" s="1"/>
  <c r="L43" i="6" s="1"/>
  <c r="F30" i="6"/>
  <c r="J30" i="6" s="1"/>
  <c r="K30" i="6" s="1"/>
  <c r="L30" i="6" s="1"/>
  <c r="F25" i="6"/>
  <c r="J25" i="6" s="1"/>
  <c r="K25" i="6" s="1"/>
  <c r="L25" i="6" s="1"/>
  <c r="E11" i="9"/>
  <c r="L27" i="9"/>
  <c r="E13" i="9" s="1"/>
  <c r="E9" i="10" l="1"/>
  <c r="K27" i="10"/>
  <c r="I13" i="9"/>
  <c r="K8" i="2"/>
  <c r="J13" i="8"/>
  <c r="I13" i="8"/>
  <c r="K7" i="2"/>
  <c r="I13" i="12"/>
  <c r="J13" i="12"/>
  <c r="K11" i="2"/>
  <c r="E9" i="7"/>
  <c r="K22" i="7"/>
  <c r="E9" i="11"/>
  <c r="K27" i="11"/>
  <c r="E9" i="5"/>
  <c r="K25" i="5"/>
  <c r="E9" i="13"/>
  <c r="K27" i="13"/>
  <c r="J11" i="8"/>
  <c r="I11" i="8"/>
  <c r="E12" i="8"/>
  <c r="I7" i="2"/>
  <c r="E9" i="3"/>
  <c r="K21" i="3"/>
  <c r="E9" i="4"/>
  <c r="K25" i="4"/>
  <c r="I11" i="12"/>
  <c r="E12" i="12"/>
  <c r="J11" i="12"/>
  <c r="I11" i="2"/>
  <c r="E9" i="6"/>
  <c r="K27" i="6"/>
  <c r="E12" i="9"/>
  <c r="I11" i="9"/>
  <c r="I8" i="2"/>
  <c r="L27" i="10" l="1"/>
  <c r="E13" i="10" s="1"/>
  <c r="E11" i="10"/>
  <c r="G9" i="2"/>
  <c r="I9" i="10"/>
  <c r="I9" i="4"/>
  <c r="J9" i="4"/>
  <c r="G3" i="2"/>
  <c r="E11" i="5"/>
  <c r="L25" i="5"/>
  <c r="E13" i="5" s="1"/>
  <c r="E11" i="11"/>
  <c r="L27" i="11"/>
  <c r="E13" i="11" s="1"/>
  <c r="I9" i="11"/>
  <c r="G10" i="2"/>
  <c r="L27" i="13"/>
  <c r="E13" i="13" s="1"/>
  <c r="E11" i="13"/>
  <c r="L21" i="3"/>
  <c r="E13" i="3" s="1"/>
  <c r="E11" i="3"/>
  <c r="I9" i="6"/>
  <c r="G5" i="2"/>
  <c r="J9" i="6"/>
  <c r="I12" i="8"/>
  <c r="J12" i="8"/>
  <c r="J7" i="2"/>
  <c r="I12" i="12"/>
  <c r="M11" i="2" s="1"/>
  <c r="J12" i="12"/>
  <c r="J11" i="2"/>
  <c r="I9" i="13"/>
  <c r="G12" i="2"/>
  <c r="E11" i="7"/>
  <c r="L22" i="7"/>
  <c r="E13" i="7" s="1"/>
  <c r="I9" i="7"/>
  <c r="J9" i="7"/>
  <c r="G6" i="2"/>
  <c r="I12" i="9"/>
  <c r="M8" i="2" s="1"/>
  <c r="J8" i="2"/>
  <c r="E11" i="4"/>
  <c r="L25" i="4"/>
  <c r="E13" i="4" s="1"/>
  <c r="J9" i="5"/>
  <c r="G4" i="2"/>
  <c r="I9" i="5"/>
  <c r="L27" i="6"/>
  <c r="E13" i="6" s="1"/>
  <c r="E11" i="6"/>
  <c r="J9" i="3"/>
  <c r="I9" i="3"/>
  <c r="G2" i="2"/>
  <c r="I11" i="10" l="1"/>
  <c r="E12" i="10"/>
  <c r="I9" i="2"/>
  <c r="J13" i="10"/>
  <c r="I13" i="10"/>
  <c r="K9" i="2"/>
  <c r="I13" i="13"/>
  <c r="K12" i="2"/>
  <c r="I13" i="11"/>
  <c r="K10" i="2"/>
  <c r="M7" i="2"/>
  <c r="I11" i="11"/>
  <c r="E12" i="11"/>
  <c r="I10" i="2"/>
  <c r="J11" i="6"/>
  <c r="I11" i="6"/>
  <c r="E12" i="6"/>
  <c r="I5" i="2"/>
  <c r="J13" i="5"/>
  <c r="I13" i="5"/>
  <c r="K4" i="2"/>
  <c r="I11" i="7"/>
  <c r="E12" i="7"/>
  <c r="I6" i="2"/>
  <c r="J11" i="7"/>
  <c r="I11" i="3"/>
  <c r="E12" i="3"/>
  <c r="J11" i="3"/>
  <c r="I2" i="2"/>
  <c r="E12" i="4"/>
  <c r="I3" i="2"/>
  <c r="J11" i="4"/>
  <c r="I11" i="4"/>
  <c r="E12" i="13"/>
  <c r="I11" i="13"/>
  <c r="I12" i="2"/>
  <c r="J13" i="7"/>
  <c r="I13" i="7"/>
  <c r="K6" i="2"/>
  <c r="J13" i="6"/>
  <c r="I13" i="6"/>
  <c r="K5" i="2"/>
  <c r="E12" i="5"/>
  <c r="J11" i="5"/>
  <c r="I11" i="5"/>
  <c r="I4" i="2"/>
  <c r="I13" i="4"/>
  <c r="J13" i="4"/>
  <c r="K3" i="2"/>
  <c r="J13" i="3"/>
  <c r="I13" i="3"/>
  <c r="K2" i="2"/>
  <c r="J12" i="10" l="1"/>
  <c r="J9" i="2"/>
  <c r="I12" i="10"/>
  <c r="M9" i="2" s="1"/>
  <c r="I12" i="7"/>
  <c r="M6" i="2" s="1"/>
  <c r="J6" i="2"/>
  <c r="J12" i="7"/>
  <c r="I12" i="3"/>
  <c r="J12" i="3"/>
  <c r="M2" i="2" s="1"/>
  <c r="J2" i="2"/>
  <c r="I12" i="11"/>
  <c r="M10" i="2" s="1"/>
  <c r="J10" i="2"/>
  <c r="I12" i="13"/>
  <c r="M12" i="2" s="1"/>
  <c r="J12" i="2"/>
  <c r="J12" i="5"/>
  <c r="M4" i="2" s="1"/>
  <c r="I12" i="5"/>
  <c r="J4" i="2"/>
  <c r="I12" i="4"/>
  <c r="J12" i="4"/>
  <c r="M3" i="2" s="1"/>
  <c r="J3" i="2"/>
  <c r="J12" i="6"/>
  <c r="I12" i="6"/>
  <c r="M5" i="2" s="1"/>
  <c r="J5" i="2"/>
  <c r="M14" i="2" l="1"/>
</calcChain>
</file>

<file path=xl/sharedStrings.xml><?xml version="1.0" encoding="utf-8"?>
<sst xmlns="http://schemas.openxmlformats.org/spreadsheetml/2006/main" count="602" uniqueCount="123">
  <si>
    <t>Rent-vs-buy engine: manual test scenarios</t>
  </si>
  <si>
    <t>Each scenario sheet re-computes the CLAUDE.md formulas with Excel formulas, year by year, and compares the result with the hand calculation and the Python engine.</t>
  </si>
  <si>
    <t>Colour legend</t>
  </si>
  <si>
    <t>Blue text: hardcoded inputs, hand-calculated values and pasted Python engine values.</t>
  </si>
  <si>
    <t>Black text: Excel formulas.   Green text: links to another sheet.</t>
  </si>
  <si>
    <t>Yellow fill: the key result, Delta(H) = C_R(H) - C_B(H) (positive = buying is cheaper).</t>
  </si>
  <si>
    <t>Formulas</t>
  </si>
  <si>
    <t>L = (1-d)P ; i = r/12 ; n = 12T ; M = L i (1+i)^n / ((1+i)^n - 1)  (M = L/n if r = 0, 0 if d = 1)</t>
  </si>
  <si>
    <t>V_t = P(1+g)^t ; B_t = L(1+i)^(12t) - M((1+i)^(12t) - 1)/i, and B_t = 0 once t &gt;= T</t>
  </si>
  <si>
    <t>O_t = 12M [t &lt;= T] + (tau+m+h) V_(t-1) ; Rent_t = 12R(1+q)^(t-1)</t>
  </si>
  <si>
    <t>C_B(H) = (d+cb)P + sum O_t/(1+k)^t - (V_H(1-cs) - B_H)/(1+k)^H ; C_R(H) = sum Rent_t/(1+k)^t</t>
  </si>
  <si>
    <t>Break-even = smallest H in 1..30 with Delta(H) &gt;= 0 ; User cost UC = (k+tau+m+h-g)P vs 12R</t>
  </si>
  <si>
    <t>How to use</t>
  </si>
  <si>
    <t>Summary: one row per scenario; 'Checks' is PASS when Excel matches the Python engine and the hand calculation to the cent.</t>
  </si>
  <si>
    <t>Scenario sheets: edit the blue inputs to explore; the Excel results and the year table update, the pasted hand and Python values do not.</t>
  </si>
  <si>
    <t>Indicative decision support only – not financial or valuation advice</t>
  </si>
  <si>
    <t>ID</t>
  </si>
  <si>
    <t>Scenario</t>
  </si>
  <si>
    <t>Price P</t>
  </si>
  <si>
    <t>Rent R</t>
  </si>
  <si>
    <t>H</t>
  </si>
  <si>
    <t>Payment M</t>
  </si>
  <si>
    <t>C_B(H)</t>
  </si>
  <si>
    <t>C_R(H)</t>
  </si>
  <si>
    <t>Delta(H)</t>
  </si>
  <si>
    <t>Recommendation</t>
  </si>
  <si>
    <t>Break-even year</t>
  </si>
  <si>
    <t>User cost</t>
  </si>
  <si>
    <t>Checks</t>
  </si>
  <si>
    <t>S01</t>
  </si>
  <si>
    <t>Cash purchase, zero growth, no costs</t>
  </si>
  <si>
    <t>S02</t>
  </si>
  <si>
    <t>Zero growth with running and transaction costs (100% down)</t>
  </si>
  <si>
    <t>S03</t>
  </si>
  <si>
    <t>Interest-free mortgage, holding period shorter than term</t>
  </si>
  <si>
    <t>S04</t>
  </si>
  <si>
    <t>Holding period longer than mortgage term (H &gt; T)</t>
  </si>
  <si>
    <t>S05</t>
  </si>
  <si>
    <t>100% down payment with appreciation and discounting</t>
  </si>
  <si>
    <t>S06</t>
  </si>
  <si>
    <t>Rent growth compounding</t>
  </si>
  <si>
    <t>S07</t>
  </si>
  <si>
    <t>Standard 30-year mortgage (published payment check)</t>
  </si>
  <si>
    <t>S08</t>
  </si>
  <si>
    <t>Buying never breaks even (price very high relative to rent)</t>
  </si>
  <si>
    <t>S09</t>
  </si>
  <si>
    <t>User cost check with default assumptions</t>
  </si>
  <si>
    <t>S10</t>
  </si>
  <si>
    <t>Negative appreciation</t>
  </si>
  <si>
    <t>S11</t>
  </si>
  <si>
    <t>Typical case: defaults, latest mortgage rate and forecasts</t>
  </si>
  <si>
    <t>All scenarios</t>
  </si>
  <si>
    <t>S01: Cash purchase, zero growth, no costs</t>
  </si>
  <si>
    <t>Hand calculation: C_B = (1+0)100,000 + 0 - (100,000 x 1 - 0) = 0. C_R = 12 x 500 = 6,000. Delta = 6,000 &gt;= 0 in year 1.</t>
  </si>
  <si>
    <t>Inputs (blue: edit to explore)</t>
  </si>
  <si>
    <t>Results (Excel formulas)</t>
  </si>
  <si>
    <t>Price P ($)</t>
  </si>
  <si>
    <t>Loan L = (1-d)P</t>
  </si>
  <si>
    <t>Monthly rent R ($)</t>
  </si>
  <si>
    <t>Monthly rate i = r/12</t>
  </si>
  <si>
    <t>Down payment d</t>
  </si>
  <si>
    <t>Number of payments n = 12T</t>
  </si>
  <si>
    <t>Mortgage rate r</t>
  </si>
  <si>
    <t>Monthly payment M</t>
  </si>
  <si>
    <t>Mortgage term T (years)</t>
  </si>
  <si>
    <t>Hand calculation</t>
  </si>
  <si>
    <t>Python engine</t>
  </si>
  <si>
    <t>Excel vs engine</t>
  </si>
  <si>
    <t>Excel vs hand</t>
  </si>
  <si>
    <t>Holding period H (years)</t>
  </si>
  <si>
    <t>C_B(H) cost of buying (PV)</t>
  </si>
  <si>
    <t>Property tax tau</t>
  </si>
  <si>
    <t>C_R(H) cost of renting (PV)</t>
  </si>
  <si>
    <t>Maintenance m</t>
  </si>
  <si>
    <t>Delta(H) = C_R - C_B</t>
  </si>
  <si>
    <t>Insurance h</t>
  </si>
  <si>
    <t>Recommendation at H</t>
  </si>
  <si>
    <t>buy</t>
  </si>
  <si>
    <t>Buying costs cb</t>
  </si>
  <si>
    <t>Break-even year (search 1-30)</t>
  </si>
  <si>
    <t>Selling costs cs</t>
  </si>
  <si>
    <t>User cost UC = (k+tau+m+h-g)P</t>
  </si>
  <si>
    <t>Discount rate k</t>
  </si>
  <si>
    <t>Annual rent 12R</t>
  </si>
  <si>
    <t>Appreciation g</t>
  </si>
  <si>
    <t>Loan balance B_H</t>
  </si>
  <si>
    <t>Rent growth q</t>
  </si>
  <si>
    <t>Hand and Python values are pasted for the inputs above; if you edit an input, only the Excel column updates.</t>
  </si>
  <si>
    <t>Year-by-year (selling at the end of year t)</t>
  </si>
  <si>
    <t>Year t</t>
  </si>
  <si>
    <t>Home value V_t</t>
  </si>
  <si>
    <t>Loan balance B_t</t>
  </si>
  <si>
    <t>Owner cost O_t</t>
  </si>
  <si>
    <t>PV of O_t</t>
  </si>
  <si>
    <t>Sum PV O (1..t)</t>
  </si>
  <si>
    <t>Rent_t</t>
  </si>
  <si>
    <t>PV of Rent_t</t>
  </si>
  <si>
    <t>C_R(t)</t>
  </si>
  <si>
    <t>C_B(t)</t>
  </si>
  <si>
    <t>Delta(t) = C_R - C_B</t>
  </si>
  <si>
    <t>Break-even helper</t>
  </si>
  <si>
    <t>S02: Zero growth with running and transaction costs (100% down)</t>
  </si>
  <si>
    <t>Hand calculation: Upfront (1+0.03)200,000 = 206,000. Running 0.02 x 200,000 = 4,000 a year. Sale 200,000 x 0.94 = 188,000. C_B(5) = 206,000 + 20,000 - 188,000 = 38,000. C_R(5) = 60,000. In general Delta(H) = 12,000H - (18,000 + 4,000H) = 8,000H - 18,000: H=2 gives -2,000, H=3 gives +6,000, so break-even = 3. The mortgage rate is irrelevant because nothing is borrowed.</t>
  </si>
  <si>
    <t>S03: Interest-free mortgage, holding period shorter than term</t>
  </si>
  <si>
    <t>Hand calculation: L = 0.75 x 120,000 = 90,000; r = 0 so M = 90,000 / 180 = 500. B_5 = 90,000 - 60 x 500 = 60,000. O_t = 6,000. C_B(5) = 30,000 + 30,000 - (120,000 - 60,000) = 0. C_R(5) = 5 x 8,400 = 42,000.</t>
  </si>
  <si>
    <t>S04: Holding period longer than mortgage term (H &gt; T)</t>
  </si>
  <si>
    <t>Hand calculation: M = 90,000 / 60 = 1,500; O_t = 18,000 for t = 1..5 and 0 for t = 6, 7 (loan repaid, no running costs). B_7 = 0. C_B(7) = 30,000 + 90,000 - 120,000 = 0. C_R(7) = 7 x 8,400 = 58,800.</t>
  </si>
  <si>
    <t>S05: 100% down payment with appreciation and discounting</t>
  </si>
  <si>
    <t>Hand calculation: V_2 = 100,000 x 1.1^2 = 121,000; C_B(2) = 100,000 - 121,000 / 1.21 = 0. C_R(2) = 12,000/1.1 + 12,000/1.21 = 10,909.09 + 9,917.36 = 20,826.45. UC = (0.10 - 0.10) x P = 0.</t>
  </si>
  <si>
    <t>S06: Rent growth compounding</t>
  </si>
  <si>
    <t>Hand calculation: Rent_1 = 12,000; Rent_2 = 12,000 x 1.05 = 12,600; Rent_3 = 12,000 x 1.05^2 = 13,230. C_R(3) = 37,830 (k = 0). C_B = 500,000 - 500,000 = 0.</t>
  </si>
  <si>
    <t>S07: Standard 30-year mortgage (published payment check)</t>
  </si>
  <si>
    <t>Hand calculation: L = 240,000 at 6% over 30 years: M = 240,000 x 0.005 x 1.005^360 / (1.005^360 - 1) = 1,438.92, the standard published value. Costs and break-even are checked against the independent monthly calculation and Excel.</t>
  </si>
  <si>
    <t>rent</t>
  </si>
  <si>
    <t>S08: Buying never breaks even (price very high relative to rent)</t>
  </si>
  <si>
    <t>Hand calculation: C_R(30) = 12,000 x 15.372 (30-year annuity factor at 5%) = 184,469. C_B(30) is at least the upfront 230,000 minus the discounted sale proceeds 940,000 / 1.05^30 = 217,497, plus positive running costs, so C_B &gt; 12,503 + PV(mortgage 57,552 a year) &gt;&gt; C_R for every H &lt;= 30. UC = (0.05 + 0.0235 - 0) x 1,000,000 = 73,500 &gt; 12,000.</t>
  </si>
  <si>
    <t>never</t>
  </si>
  <si>
    <t>S09: User cost check with default assumptions</t>
  </si>
  <si>
    <t>Hand calculation: UC = (0.05 + 0.01 + 0.01 + 0.0035 - 0.03) x 300,000 = 0.0435 x 300,000 = 13,050 &lt; 12 x 1,200 = 14,400, so the user-cost rule says buy.</t>
  </si>
  <si>
    <t>S10: Negative appreciation</t>
  </si>
  <si>
    <t>Hand calculation: V_2 = 200,000 x 0.95^2 = 180,500; C_B(2) = 200,000 - 180,500 = 19,500. C_R(2) = 24,000. Year 1: C_B = 10,000 &lt; C_R = 12,000. UC = (0 - (-0.05)) x 200,000 = 10,000.</t>
  </si>
  <si>
    <t>S11: Typical case: defaults, latest mortgage rate and forecasts</t>
  </si>
  <si>
    <t>Hand calculation: No closed form; checked against the independent monthly calculation and the Excel formulas (r = Sep 2025 mortgage rate, g and q = mean forecasts).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</si>
</sst>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\(\$#,##0.00\);&quot;-&quot;"/>
    <numFmt numFmtId="165" formatCode="0.0000%"/>
    <numFmt numFmtId="166" formatCode="0.000000%"/>
  </numFmts>
  <fonts count="7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1"/>
      <name val="Arial"/>
    </font>
    <font>
      <b/>
      <sz val="11"/>
      <name val="Arial"/>
    </font>
    <font>
      <sz val="11"/>
      <color rgb="FF0000FF"/>
      <name val="Arial"/>
    </font>
    <font>
      <i/>
      <sz val="9"/>
      <color rgb="FF52514E"/>
      <name val="Arial"/>
    </font>
    <font>
      <sz val="11"/>
      <color rgb="FF008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4E3D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AFA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1" xfId="0" applyFont="1" applyFill="1" applyBorder="1"/>
    <xf numFmtId="164" fontId="6" fillId="0" borderId="0" xfId="0" applyNumberFormat="1" applyFont="1"/>
    <xf numFmtId="1" fontId="6" fillId="0" borderId="0" xfId="0" applyNumberFormat="1" applyFont="1"/>
    <xf numFmtId="49" fontId="6" fillId="0" borderId="0" xfId="0" applyNumberFormat="1" applyFont="1"/>
    <xf numFmtId="164" fontId="4" fillId="0" borderId="0" xfId="0" applyNumberFormat="1" applyFont="1"/>
    <xf numFmtId="164" fontId="2" fillId="0" borderId="0" xfId="0" applyNumberFormat="1" applyFont="1"/>
    <xf numFmtId="166" fontId="2" fillId="0" borderId="0" xfId="0" applyNumberFormat="1" applyFont="1"/>
    <xf numFmtId="10" fontId="4" fillId="0" borderId="0" xfId="0" applyNumberFormat="1" applyFont="1"/>
    <xf numFmtId="1" fontId="2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0" fontId="3" fillId="2" borderId="0" xfId="0" applyFont="1" applyFill="1"/>
    <xf numFmtId="164" fontId="2" fillId="3" borderId="0" xfId="0" applyNumberFormat="1" applyFont="1" applyFill="1"/>
    <xf numFmtId="49" fontId="2" fillId="0" borderId="0" xfId="0" applyNumberFormat="1" applyFont="1"/>
    <xf numFmtId="49" fontId="4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0" fontId="5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/>
  </sheetViews>
  <sheetFormatPr defaultRowHeight="15" x14ac:dyDescent="0.25"/>
  <cols>
    <col min="1" max="1" width="120" customWidth="1"/>
  </cols>
  <sheetData>
    <row r="1" spans="1:1" ht="16.5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/>
    </row>
    <row r="4" spans="1:1" x14ac:dyDescent="0.25">
      <c r="A4" s="3" t="s">
        <v>2</v>
      </c>
    </row>
    <row r="5" spans="1:1" x14ac:dyDescent="0.25">
      <c r="A5" s="4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/>
    </row>
    <row r="9" spans="1:1" x14ac:dyDescent="0.25">
      <c r="A9" s="3" t="s">
        <v>6</v>
      </c>
    </row>
    <row r="10" spans="1:1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2"/>
    </row>
    <row r="16" spans="1:1" x14ac:dyDescent="0.25">
      <c r="A16" s="3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/>
    </row>
    <row r="20" spans="1:1" x14ac:dyDescent="0.25">
      <c r="A20" s="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58" customWidth="1"/>
    <col min="3" max="3" width="14" customWidth="1"/>
    <col min="4" max="4" width="11" customWidth="1"/>
    <col min="5" max="5" width="5" customWidth="1"/>
    <col min="6" max="6" width="13" customWidth="1"/>
    <col min="7" max="9" width="14" customWidth="1"/>
    <col min="10" max="11" width="15" customWidth="1"/>
    <col min="12" max="12" width="13" customWidth="1"/>
    <col min="13" max="13" width="11" customWidth="1"/>
  </cols>
  <sheetData>
    <row r="1" spans="1:13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</row>
    <row r="2" spans="1:13" x14ac:dyDescent="0.25">
      <c r="A2" s="2" t="s">
        <v>29</v>
      </c>
      <c r="B2" s="2" t="s">
        <v>30</v>
      </c>
      <c r="C2" s="7">
        <f>'S01'!B4</f>
        <v>100000</v>
      </c>
      <c r="D2" s="7">
        <f>'S01'!B5</f>
        <v>500</v>
      </c>
      <c r="E2" s="8">
        <f>'S01'!B9</f>
        <v>1</v>
      </c>
      <c r="F2" s="7">
        <f>'S01'!E7</f>
        <v>0</v>
      </c>
      <c r="G2" s="7">
        <f>'S01'!E9</f>
        <v>0</v>
      </c>
      <c r="H2" s="7">
        <f>'S01'!E10</f>
        <v>6000</v>
      </c>
      <c r="I2" s="7">
        <f>'S01'!E11</f>
        <v>6000</v>
      </c>
      <c r="J2" s="9" t="str">
        <f>'S01'!E12</f>
        <v>buy</v>
      </c>
      <c r="K2" s="8">
        <f>'S01'!E13</f>
        <v>1</v>
      </c>
      <c r="L2" s="7">
        <f>'S01'!E14</f>
        <v>0</v>
      </c>
      <c r="M2" s="3" t="str">
        <f>IF(COUNTIF('S01'!I7:J16,"FAIL")=0,"PASS","FAIL")</f>
        <v>PASS</v>
      </c>
    </row>
    <row r="3" spans="1:13" x14ac:dyDescent="0.25">
      <c r="A3" s="2" t="s">
        <v>31</v>
      </c>
      <c r="B3" s="2" t="s">
        <v>32</v>
      </c>
      <c r="C3" s="7">
        <f>'S02'!B4</f>
        <v>200000</v>
      </c>
      <c r="D3" s="7">
        <f>'S02'!B5</f>
        <v>1000</v>
      </c>
      <c r="E3" s="8">
        <f>'S02'!B9</f>
        <v>5</v>
      </c>
      <c r="F3" s="7">
        <f>'S02'!E7</f>
        <v>0</v>
      </c>
      <c r="G3" s="7">
        <f>'S02'!E9</f>
        <v>38000</v>
      </c>
      <c r="H3" s="7">
        <f>'S02'!E10</f>
        <v>60000</v>
      </c>
      <c r="I3" s="7">
        <f>'S02'!E11</f>
        <v>22000</v>
      </c>
      <c r="J3" s="9" t="str">
        <f>'S02'!E12</f>
        <v>buy</v>
      </c>
      <c r="K3" s="8">
        <f>'S02'!E13</f>
        <v>3</v>
      </c>
      <c r="L3" s="7">
        <f>'S02'!E14</f>
        <v>4000</v>
      </c>
      <c r="M3" s="3" t="str">
        <f>IF(COUNTIF('S02'!I7:J16,"FAIL")=0,"PASS","FAIL")</f>
        <v>PASS</v>
      </c>
    </row>
    <row r="4" spans="1:13" x14ac:dyDescent="0.25">
      <c r="A4" s="2" t="s">
        <v>33</v>
      </c>
      <c r="B4" s="2" t="s">
        <v>34</v>
      </c>
      <c r="C4" s="7">
        <f>'S03'!B4</f>
        <v>120000</v>
      </c>
      <c r="D4" s="7">
        <f>'S03'!B5</f>
        <v>700</v>
      </c>
      <c r="E4" s="8">
        <f>'S03'!B9</f>
        <v>5</v>
      </c>
      <c r="F4" s="7">
        <f>'S03'!E7</f>
        <v>500</v>
      </c>
      <c r="G4" s="7">
        <f>'S03'!E9</f>
        <v>0</v>
      </c>
      <c r="H4" s="7">
        <f>'S03'!E10</f>
        <v>42000</v>
      </c>
      <c r="I4" s="7">
        <f>'S03'!E11</f>
        <v>42000</v>
      </c>
      <c r="J4" s="9" t="str">
        <f>'S03'!E12</f>
        <v>buy</v>
      </c>
      <c r="K4" s="8">
        <f>'S03'!E13</f>
        <v>1</v>
      </c>
      <c r="L4" s="7">
        <f>'S03'!E14</f>
        <v>0</v>
      </c>
      <c r="M4" s="3" t="str">
        <f>IF(COUNTIF('S03'!I7:J16,"FAIL")=0,"PASS","FAIL")</f>
        <v>PASS</v>
      </c>
    </row>
    <row r="5" spans="1:13" x14ac:dyDescent="0.25">
      <c r="A5" s="2" t="s">
        <v>35</v>
      </c>
      <c r="B5" s="2" t="s">
        <v>36</v>
      </c>
      <c r="C5" s="7">
        <f>'S04'!B4</f>
        <v>120000</v>
      </c>
      <c r="D5" s="7">
        <f>'S04'!B5</f>
        <v>700</v>
      </c>
      <c r="E5" s="8">
        <f>'S04'!B9</f>
        <v>7</v>
      </c>
      <c r="F5" s="7">
        <f>'S04'!E7</f>
        <v>1500</v>
      </c>
      <c r="G5" s="7">
        <f>'S04'!E9</f>
        <v>0</v>
      </c>
      <c r="H5" s="7">
        <f>'S04'!E10</f>
        <v>58800</v>
      </c>
      <c r="I5" s="7">
        <f>'S04'!E11</f>
        <v>58800</v>
      </c>
      <c r="J5" s="9" t="str">
        <f>'S04'!E12</f>
        <v>buy</v>
      </c>
      <c r="K5" s="8">
        <f>'S04'!E13</f>
        <v>1</v>
      </c>
      <c r="L5" s="7">
        <f>'S04'!E14</f>
        <v>0</v>
      </c>
      <c r="M5" s="3" t="str">
        <f>IF(COUNTIF('S04'!I7:J16,"FAIL")=0,"PASS","FAIL")</f>
        <v>PASS</v>
      </c>
    </row>
    <row r="6" spans="1:13" x14ac:dyDescent="0.25">
      <c r="A6" s="2" t="s">
        <v>37</v>
      </c>
      <c r="B6" s="2" t="s">
        <v>38</v>
      </c>
      <c r="C6" s="7">
        <f>'S05'!B4</f>
        <v>100000</v>
      </c>
      <c r="D6" s="7">
        <f>'S05'!B5</f>
        <v>1000</v>
      </c>
      <c r="E6" s="8">
        <f>'S05'!B9</f>
        <v>2</v>
      </c>
      <c r="F6" s="7">
        <f>'S05'!E7</f>
        <v>0</v>
      </c>
      <c r="G6" s="7">
        <f>'S05'!E9</f>
        <v>0</v>
      </c>
      <c r="H6" s="7">
        <f>'S05'!E10</f>
        <v>20826.446280991731</v>
      </c>
      <c r="I6" s="7">
        <f>'S05'!E11</f>
        <v>20826.446280991731</v>
      </c>
      <c r="J6" s="9" t="str">
        <f>'S05'!E12</f>
        <v>buy</v>
      </c>
      <c r="K6" s="8">
        <f>'S05'!E13</f>
        <v>1</v>
      </c>
      <c r="L6" s="7">
        <f>'S05'!E14</f>
        <v>0</v>
      </c>
      <c r="M6" s="3" t="str">
        <f>IF(COUNTIF('S05'!I7:J16,"FAIL")=0,"PASS","FAIL")</f>
        <v>PASS</v>
      </c>
    </row>
    <row r="7" spans="1:13" x14ac:dyDescent="0.25">
      <c r="A7" s="2" t="s">
        <v>39</v>
      </c>
      <c r="B7" s="2" t="s">
        <v>40</v>
      </c>
      <c r="C7" s="7">
        <f>'S06'!B4</f>
        <v>500000</v>
      </c>
      <c r="D7" s="7">
        <f>'S06'!B5</f>
        <v>1000</v>
      </c>
      <c r="E7" s="8">
        <f>'S06'!B9</f>
        <v>3</v>
      </c>
      <c r="F7" s="7">
        <f>'S06'!E7</f>
        <v>0</v>
      </c>
      <c r="G7" s="7">
        <f>'S06'!E9</f>
        <v>0</v>
      </c>
      <c r="H7" s="7">
        <f>'S06'!E10</f>
        <v>37830</v>
      </c>
      <c r="I7" s="7">
        <f>'S06'!E11</f>
        <v>37830</v>
      </c>
      <c r="J7" s="9" t="str">
        <f>'S06'!E12</f>
        <v>buy</v>
      </c>
      <c r="K7" s="8">
        <f>'S06'!E13</f>
        <v>1</v>
      </c>
      <c r="L7" s="7">
        <f>'S06'!E14</f>
        <v>0</v>
      </c>
      <c r="M7" s="3" t="str">
        <f>IF(COUNTIF('S06'!I7:J16,"FAIL")=0,"PASS","FAIL")</f>
        <v>PASS</v>
      </c>
    </row>
    <row r="8" spans="1:13" x14ac:dyDescent="0.25">
      <c r="A8" s="2" t="s">
        <v>41</v>
      </c>
      <c r="B8" s="2" t="s">
        <v>42</v>
      </c>
      <c r="C8" s="7">
        <f>'S07'!B4</f>
        <v>300000</v>
      </c>
      <c r="D8" s="7">
        <f>'S07'!B5</f>
        <v>1500</v>
      </c>
      <c r="E8" s="8">
        <f>'S07'!B9</f>
        <v>7</v>
      </c>
      <c r="F8" s="7">
        <f>'S07'!E7</f>
        <v>1438.9212603666213</v>
      </c>
      <c r="G8" s="7">
        <f>'S07'!E9</f>
        <v>119722.01325979533</v>
      </c>
      <c r="H8" s="7">
        <f>'S07'!E10</f>
        <v>113356.44488482131</v>
      </c>
      <c r="I8" s="7">
        <f>'S07'!E11</f>
        <v>-6365.5683749740274</v>
      </c>
      <c r="J8" s="9" t="str">
        <f>'S07'!E12</f>
        <v>rent</v>
      </c>
      <c r="K8" s="8">
        <f>'S07'!E13</f>
        <v>10</v>
      </c>
      <c r="L8" s="7">
        <f>'S07'!E14</f>
        <v>13050.000000000004</v>
      </c>
      <c r="M8" s="3" t="str">
        <f>IF(COUNTIF('S07'!I7:J16,"FAIL")=0,"PASS","FAIL")</f>
        <v>PASS</v>
      </c>
    </row>
    <row r="9" spans="1:13" x14ac:dyDescent="0.25">
      <c r="A9" s="2" t="s">
        <v>43</v>
      </c>
      <c r="B9" s="2" t="s">
        <v>44</v>
      </c>
      <c r="C9" s="7">
        <f>'S08'!B4</f>
        <v>1000000</v>
      </c>
      <c r="D9" s="7">
        <f>'S08'!B5</f>
        <v>1000</v>
      </c>
      <c r="E9" s="8">
        <f>'S08'!B9</f>
        <v>7</v>
      </c>
      <c r="F9" s="7">
        <f>'S08'!E7</f>
        <v>4796.4042012220716</v>
      </c>
      <c r="G9" s="7">
        <f>'S08'!E9</f>
        <v>540625.05656984949</v>
      </c>
      <c r="H9" s="7">
        <f>'S08'!E10</f>
        <v>69436.480768770823</v>
      </c>
      <c r="I9" s="7">
        <f>'S08'!E11</f>
        <v>-471188.5758010787</v>
      </c>
      <c r="J9" s="9" t="str">
        <f>'S08'!E12</f>
        <v>rent</v>
      </c>
      <c r="K9" s="8" t="str">
        <f>'S08'!E13</f>
        <v>never</v>
      </c>
      <c r="L9" s="7">
        <f>'S08'!E14</f>
        <v>73500.000000000015</v>
      </c>
      <c r="M9" s="3" t="str">
        <f>IF(COUNTIF('S08'!I7:J16,"FAIL")=0,"PASS","FAIL")</f>
        <v>PASS</v>
      </c>
    </row>
    <row r="10" spans="1:13" x14ac:dyDescent="0.25">
      <c r="A10" s="2" t="s">
        <v>45</v>
      </c>
      <c r="B10" s="2" t="s">
        <v>46</v>
      </c>
      <c r="C10" s="7">
        <f>'S09'!B4</f>
        <v>300000</v>
      </c>
      <c r="D10" s="7">
        <f>'S09'!B5</f>
        <v>1200</v>
      </c>
      <c r="E10" s="8">
        <f>'S09'!B9</f>
        <v>7</v>
      </c>
      <c r="F10" s="7">
        <f>'S09'!E7</f>
        <v>1438.9212603666213</v>
      </c>
      <c r="G10" s="7">
        <f>'S09'!E9</f>
        <v>119722.01325979533</v>
      </c>
      <c r="H10" s="7">
        <f>'S09'!E10</f>
        <v>90685.155907857057</v>
      </c>
      <c r="I10" s="7">
        <f>'S09'!E11</f>
        <v>-29036.857351938277</v>
      </c>
      <c r="J10" s="9" t="str">
        <f>'S09'!E12</f>
        <v>rent</v>
      </c>
      <c r="K10" s="8" t="str">
        <f>'S09'!E13</f>
        <v>never</v>
      </c>
      <c r="L10" s="7">
        <f>'S09'!E14</f>
        <v>13050.000000000004</v>
      </c>
      <c r="M10" s="3" t="str">
        <f>IF(COUNTIF('S09'!I7:J16,"FAIL")=0,"PASS","FAIL")</f>
        <v>PASS</v>
      </c>
    </row>
    <row r="11" spans="1:13" x14ac:dyDescent="0.25">
      <c r="A11" s="2" t="s">
        <v>47</v>
      </c>
      <c r="B11" s="2" t="s">
        <v>48</v>
      </c>
      <c r="C11" s="7">
        <f>'S10'!B4</f>
        <v>200000</v>
      </c>
      <c r="D11" s="7">
        <f>'S10'!B5</f>
        <v>1000</v>
      </c>
      <c r="E11" s="8">
        <f>'S10'!B9</f>
        <v>2</v>
      </c>
      <c r="F11" s="7">
        <f>'S10'!E7</f>
        <v>0</v>
      </c>
      <c r="G11" s="7">
        <f>'S10'!E9</f>
        <v>19500</v>
      </c>
      <c r="H11" s="7">
        <f>'S10'!E10</f>
        <v>24000</v>
      </c>
      <c r="I11" s="7">
        <f>'S10'!E11</f>
        <v>4500</v>
      </c>
      <c r="J11" s="9" t="str">
        <f>'S10'!E12</f>
        <v>buy</v>
      </c>
      <c r="K11" s="8">
        <f>'S10'!E13</f>
        <v>1</v>
      </c>
      <c r="L11" s="7">
        <f>'S10'!E14</f>
        <v>10000</v>
      </c>
      <c r="M11" s="3" t="str">
        <f>IF(COUNTIF('S10'!I7:J16,"FAIL")=0,"PASS","FAIL")</f>
        <v>PASS</v>
      </c>
    </row>
    <row r="12" spans="1:13" x14ac:dyDescent="0.25">
      <c r="A12" s="2" t="s">
        <v>49</v>
      </c>
      <c r="B12" s="2" t="s">
        <v>50</v>
      </c>
      <c r="C12" s="7">
        <f>'S11'!B4</f>
        <v>400000</v>
      </c>
      <c r="D12" s="7">
        <f>'S11'!B5</f>
        <v>2000</v>
      </c>
      <c r="E12" s="8">
        <f>'S11'!B9</f>
        <v>7</v>
      </c>
      <c r="F12" s="7">
        <f>'S11'!E7</f>
        <v>1991.6769372308017</v>
      </c>
      <c r="G12" s="7">
        <f>'S11'!E9</f>
        <v>149467.46387093735</v>
      </c>
      <c r="H12" s="7">
        <f>'S11'!E10</f>
        <v>153609.2355156008</v>
      </c>
      <c r="I12" s="7">
        <f>'S11'!E11</f>
        <v>4141.771644663444</v>
      </c>
      <c r="J12" s="9" t="str">
        <f>'S11'!E12</f>
        <v>buy</v>
      </c>
      <c r="K12" s="8">
        <f>'S11'!E13</f>
        <v>7</v>
      </c>
      <c r="L12" s="7">
        <f>'S11'!E14</f>
        <v>14280.000000000004</v>
      </c>
      <c r="M12" s="3" t="str">
        <f>IF(COUNTIF('S11'!I7:J16,"FAIL")=0,"PASS","FAIL")</f>
        <v>PASS</v>
      </c>
    </row>
    <row r="14" spans="1:13" x14ac:dyDescent="0.25">
      <c r="B14" s="3" t="s">
        <v>51</v>
      </c>
      <c r="M14" s="3" t="str">
        <f>IF(COUNTIF(M2:M12,"FAIL")=0,"ALL PASS","SOME FAIL")</f>
        <v>ALL PASS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workbookViewId="0">
      <pane ySplit="20" topLeftCell="A21" activePane="bottomLeft" state="frozen"/>
      <selection pane="bottomLeft"/>
    </sheetView>
  </sheetViews>
  <sheetFormatPr defaultRowHeight="15" x14ac:dyDescent="0.25"/>
  <cols>
    <col min="1" max="1" width="27" customWidth="1"/>
    <col min="2" max="3" width="15" customWidth="1"/>
    <col min="4" max="4" width="30" customWidth="1"/>
    <col min="5" max="5" width="17" customWidth="1"/>
    <col min="6" max="6" width="15" customWidth="1"/>
    <col min="7" max="7" width="17" customWidth="1"/>
    <col min="8" max="10" width="15" customWidth="1"/>
    <col min="11" max="11" width="17" customWidth="1"/>
    <col min="12" max="12" width="11" customWidth="1"/>
  </cols>
  <sheetData>
    <row r="1" spans="1:12" ht="16.5" x14ac:dyDescent="0.25">
      <c r="A1" s="1" t="s">
        <v>52</v>
      </c>
    </row>
    <row r="2" spans="1:12" ht="48" customHeight="1" x14ac:dyDescent="0.25">
      <c r="A2" s="22" t="s">
        <v>53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t="s">
        <v>54</v>
      </c>
      <c r="D3" t="s">
        <v>55</v>
      </c>
    </row>
    <row r="4" spans="1:12" x14ac:dyDescent="0.25">
      <c r="A4" s="2" t="s">
        <v>56</v>
      </c>
      <c r="B4" s="10">
        <v>100000</v>
      </c>
      <c r="D4" s="2" t="s">
        <v>57</v>
      </c>
      <c r="E4" s="11">
        <f>(1-$B$6)*$B$4</f>
        <v>0</v>
      </c>
    </row>
    <row r="5" spans="1:12" x14ac:dyDescent="0.25">
      <c r="A5" s="2" t="s">
        <v>58</v>
      </c>
      <c r="B5" s="10">
        <v>500</v>
      </c>
      <c r="D5" s="2" t="s">
        <v>59</v>
      </c>
      <c r="E5" s="12">
        <f>$B$7/12</f>
        <v>0</v>
      </c>
    </row>
    <row r="6" spans="1:12" x14ac:dyDescent="0.25">
      <c r="A6" s="2" t="s">
        <v>60</v>
      </c>
      <c r="B6" s="13">
        <v>1</v>
      </c>
      <c r="D6" s="2" t="s">
        <v>61</v>
      </c>
      <c r="E6" s="14">
        <f>12*$B$8</f>
        <v>360</v>
      </c>
    </row>
    <row r="7" spans="1:12" x14ac:dyDescent="0.25">
      <c r="A7" s="2" t="s">
        <v>62</v>
      </c>
      <c r="B7" s="15">
        <v>0</v>
      </c>
      <c r="D7" s="2" t="s">
        <v>63</v>
      </c>
      <c r="E7" s="11">
        <f>IF($E$4=0,0,IF($E$5=0,$E$4/$E$6,$E$4*$E$5*(1+$E$5)^$E$6/((1+$E$5)^$E$6-1)))</f>
        <v>0</v>
      </c>
      <c r="G7" s="10">
        <v>0</v>
      </c>
      <c r="H7" s="10">
        <v>0</v>
      </c>
      <c r="I7" s="2" t="str">
        <f>IF(ABS(E7-H7)&lt;0.01,"PASS","FAIL")</f>
        <v>PASS</v>
      </c>
      <c r="J7" s="2" t="str">
        <f>IF(ABS(E7-G7)&lt;0.01,"PASS","FAIL")</f>
        <v>PASS</v>
      </c>
    </row>
    <row r="8" spans="1:12" x14ac:dyDescent="0.25">
      <c r="A8" s="2" t="s">
        <v>64</v>
      </c>
      <c r="B8" s="16">
        <v>30</v>
      </c>
      <c r="G8" s="17" t="s">
        <v>65</v>
      </c>
      <c r="H8" s="17" t="s">
        <v>66</v>
      </c>
      <c r="I8" s="17" t="s">
        <v>67</v>
      </c>
      <c r="J8" s="17" t="s">
        <v>68</v>
      </c>
    </row>
    <row r="9" spans="1:12" x14ac:dyDescent="0.25">
      <c r="A9" s="2" t="s">
        <v>69</v>
      </c>
      <c r="B9" s="16">
        <v>1</v>
      </c>
      <c r="D9" s="2" t="s">
        <v>70</v>
      </c>
      <c r="E9" s="11">
        <f>INDEX(J21:J50,$B$9)</f>
        <v>0</v>
      </c>
      <c r="G9" s="10">
        <v>0</v>
      </c>
      <c r="H9" s="10">
        <v>0</v>
      </c>
      <c r="I9" s="2" t="str">
        <f>IF(ABS(E9-H9)&lt;0.01,"PASS","FAIL")</f>
        <v>PASS</v>
      </c>
      <c r="J9" s="2" t="str">
        <f>IF(ABS(E9-G9)&lt;0.01,"PASS","FAIL")</f>
        <v>PASS</v>
      </c>
    </row>
    <row r="10" spans="1:12" x14ac:dyDescent="0.25">
      <c r="A10" s="2" t="s">
        <v>71</v>
      </c>
      <c r="B10" s="13">
        <v>0</v>
      </c>
      <c r="D10" s="2" t="s">
        <v>72</v>
      </c>
      <c r="E10" s="11">
        <f>INDEX(I21:I50,$B$9)</f>
        <v>6000</v>
      </c>
      <c r="G10" s="10">
        <v>6000</v>
      </c>
      <c r="H10" s="10">
        <v>6000</v>
      </c>
      <c r="I10" s="2" t="str">
        <f>IF(ABS(E10-H10)&lt;0.01,"PASS","FAIL")</f>
        <v>PASS</v>
      </c>
      <c r="J10" s="2" t="str">
        <f>IF(ABS(E10-G10)&lt;0.01,"PASS","FAIL")</f>
        <v>PASS</v>
      </c>
    </row>
    <row r="11" spans="1:12" x14ac:dyDescent="0.25">
      <c r="A11" s="2" t="s">
        <v>73</v>
      </c>
      <c r="B11" s="13">
        <v>0</v>
      </c>
      <c r="D11" s="3" t="s">
        <v>74</v>
      </c>
      <c r="E11" s="18">
        <f>INDEX(K21:K50,$B$9)</f>
        <v>6000</v>
      </c>
      <c r="G11" s="10">
        <v>6000</v>
      </c>
      <c r="H11" s="10">
        <v>6000</v>
      </c>
      <c r="I11" s="2" t="str">
        <f>IF(ABS(E11-H11)&lt;0.01,"PASS","FAIL")</f>
        <v>PASS</v>
      </c>
      <c r="J11" s="2" t="str">
        <f>IF(ABS(E11-G11)&lt;0.01,"PASS","FAIL")</f>
        <v>PASS</v>
      </c>
    </row>
    <row r="12" spans="1:12" x14ac:dyDescent="0.25">
      <c r="A12" s="2" t="s">
        <v>75</v>
      </c>
      <c r="B12" s="13">
        <v>0</v>
      </c>
      <c r="D12" s="2" t="s">
        <v>76</v>
      </c>
      <c r="E12" s="19" t="str">
        <f>IF(E11&gt;=0,"buy","rent")</f>
        <v>buy</v>
      </c>
      <c r="G12" s="20" t="s">
        <v>77</v>
      </c>
      <c r="H12" s="20" t="s">
        <v>77</v>
      </c>
      <c r="I12" s="2" t="str">
        <f>IF(E12=H12,"PASS","FAIL")</f>
        <v>PASS</v>
      </c>
      <c r="J12" s="2" t="str">
        <f>IF(E12=G12,"PASS","FAIL")</f>
        <v>PASS</v>
      </c>
    </row>
    <row r="13" spans="1:12" x14ac:dyDescent="0.25">
      <c r="A13" s="2" t="s">
        <v>78</v>
      </c>
      <c r="B13" s="13">
        <v>0</v>
      </c>
      <c r="D13" s="2" t="s">
        <v>79</v>
      </c>
      <c r="E13" s="14">
        <f>IF(COUNT(L21:L50)=0,"never",MIN(L21:L50))</f>
        <v>1</v>
      </c>
      <c r="G13" s="16">
        <v>1</v>
      </c>
      <c r="H13" s="16">
        <v>1</v>
      </c>
      <c r="I13" s="2" t="str">
        <f>IF(ABS(E13-H13)&lt;0.01,"PASS","FAIL")</f>
        <v>PASS</v>
      </c>
      <c r="J13" s="2" t="str">
        <f>IF(ABS(E13-G13)&lt;0.01,"PASS","FAIL")</f>
        <v>PASS</v>
      </c>
    </row>
    <row r="14" spans="1:12" x14ac:dyDescent="0.25">
      <c r="A14" s="2" t="s">
        <v>80</v>
      </c>
      <c r="B14" s="13">
        <v>0</v>
      </c>
      <c r="D14" s="2" t="s">
        <v>81</v>
      </c>
      <c r="E14" s="11">
        <f>($B$15+$B$10+$B$11+$B$12-$B$16)*$B$4</f>
        <v>0</v>
      </c>
      <c r="G14" s="10">
        <v>0</v>
      </c>
      <c r="H14" s="10">
        <v>0</v>
      </c>
      <c r="I14" s="2" t="str">
        <f>IF(ABS(E14-H14)&lt;0.01,"PASS","FAIL")</f>
        <v>PASS</v>
      </c>
      <c r="J14" s="2" t="str">
        <f>IF(ABS(E14-G14)&lt;0.01,"PASS","FAIL")</f>
        <v>PASS</v>
      </c>
    </row>
    <row r="15" spans="1:12" x14ac:dyDescent="0.25">
      <c r="A15" s="2" t="s">
        <v>82</v>
      </c>
      <c r="B15" s="13">
        <v>0</v>
      </c>
      <c r="D15" s="2" t="s">
        <v>83</v>
      </c>
      <c r="E15" s="11">
        <f>12*$B$5</f>
        <v>6000</v>
      </c>
      <c r="H15" s="10">
        <v>6000</v>
      </c>
      <c r="I15" s="2" t="str">
        <f>IF(ABS(E15-H15)&lt;0.01,"PASS","FAIL")</f>
        <v>PASS</v>
      </c>
    </row>
    <row r="16" spans="1:12" x14ac:dyDescent="0.25">
      <c r="A16" s="2" t="s">
        <v>84</v>
      </c>
      <c r="B16" s="13">
        <v>0</v>
      </c>
      <c r="D16" s="2" t="s">
        <v>85</v>
      </c>
      <c r="E16" s="11">
        <f>INDEX(C21:C50,$B$9)</f>
        <v>0</v>
      </c>
      <c r="H16" s="10">
        <v>0</v>
      </c>
      <c r="I16" s="2" t="str">
        <f>IF(ABS(E16-H16)&lt;0.01,"PASS","FAIL")</f>
        <v>PASS</v>
      </c>
    </row>
    <row r="17" spans="1:12" x14ac:dyDescent="0.25">
      <c r="A17" s="2" t="s">
        <v>86</v>
      </c>
      <c r="B17" s="13">
        <v>0</v>
      </c>
      <c r="G17" s="5" t="s">
        <v>87</v>
      </c>
    </row>
    <row r="19" spans="1:12" x14ac:dyDescent="0.25">
      <c r="A19" s="3" t="s">
        <v>88</v>
      </c>
    </row>
    <row r="20" spans="1:12" ht="30" customHeight="1" x14ac:dyDescent="0.25">
      <c r="A20" s="21" t="s">
        <v>89</v>
      </c>
      <c r="B20" s="21" t="s">
        <v>90</v>
      </c>
      <c r="C20" s="21" t="s">
        <v>91</v>
      </c>
      <c r="D20" s="21" t="s">
        <v>92</v>
      </c>
      <c r="E20" s="21" t="s">
        <v>93</v>
      </c>
      <c r="F20" s="21" t="s">
        <v>94</v>
      </c>
      <c r="G20" s="21" t="s">
        <v>95</v>
      </c>
      <c r="H20" s="21" t="s">
        <v>96</v>
      </c>
      <c r="I20" s="21" t="s">
        <v>97</v>
      </c>
      <c r="J20" s="21" t="s">
        <v>98</v>
      </c>
      <c r="K20" s="21" t="s">
        <v>99</v>
      </c>
      <c r="L20" s="21" t="s">
        <v>100</v>
      </c>
    </row>
    <row r="21" spans="1:12" x14ac:dyDescent="0.25">
      <c r="A21" s="14">
        <v>1</v>
      </c>
      <c r="B21" s="11">
        <f t="shared" ref="B21:B50" si="0">$B$4*(1+$B$16)^A21</f>
        <v>100000</v>
      </c>
      <c r="C21" s="11">
        <f t="shared" ref="C21:C50" si="1">IF(OR($E$4=0,A21&gt;=$B$8),0,IF($E$5=0,$E$4-12*A21*$E$7,$E$4*(1+$E$5)^(12*A21)-$E$7*((1+$E$5)^(12*A21)-1)/$E$5))</f>
        <v>0</v>
      </c>
      <c r="D21" s="11">
        <f t="shared" ref="D21:D50" si="2">IF(A21&lt;=$B$8,12*$E$7,0)+($B$10+$B$11+$B$12)*$B$4*(1+$B$16)^(A21-1)</f>
        <v>0</v>
      </c>
      <c r="E21" s="11">
        <f t="shared" ref="E21:E50" si="3">D21/(1+$B$15)^A21</f>
        <v>0</v>
      </c>
      <c r="F21" s="11">
        <f>SUM($E$21:E21)</f>
        <v>0</v>
      </c>
      <c r="G21" s="11">
        <f t="shared" ref="G21:G50" si="4">12*$B$5*(1+$B$17)^(A21-1)</f>
        <v>6000</v>
      </c>
      <c r="H21" s="11">
        <f t="shared" ref="H21:H50" si="5">G21/(1+$B$15)^A21</f>
        <v>6000</v>
      </c>
      <c r="I21" s="11">
        <f>SUM($H$21:H21)</f>
        <v>6000</v>
      </c>
      <c r="J21" s="11">
        <f t="shared" ref="J21:J50" si="6">($B$6+$B$13)*$B$4+F21-(B21*(1-$B$14)-C21)/(1+$B$15)^A21</f>
        <v>0</v>
      </c>
      <c r="K21" s="11">
        <f t="shared" ref="K21:K50" si="7">I21-J21</f>
        <v>6000</v>
      </c>
      <c r="L21" s="14">
        <f t="shared" ref="L21:L50" si="8">IF(K21&gt;=0,A21,"")</f>
        <v>1</v>
      </c>
    </row>
    <row r="22" spans="1:12" x14ac:dyDescent="0.25">
      <c r="A22" s="14">
        <v>2</v>
      </c>
      <c r="B22" s="11">
        <f t="shared" si="0"/>
        <v>100000</v>
      </c>
      <c r="C22" s="11">
        <f t="shared" si="1"/>
        <v>0</v>
      </c>
      <c r="D22" s="11">
        <f t="shared" si="2"/>
        <v>0</v>
      </c>
      <c r="E22" s="11">
        <f t="shared" si="3"/>
        <v>0</v>
      </c>
      <c r="F22" s="11">
        <f>SUM($E$21:E22)</f>
        <v>0</v>
      </c>
      <c r="G22" s="11">
        <f t="shared" si="4"/>
        <v>6000</v>
      </c>
      <c r="H22" s="11">
        <f t="shared" si="5"/>
        <v>6000</v>
      </c>
      <c r="I22" s="11">
        <f>SUM($H$21:H22)</f>
        <v>12000</v>
      </c>
      <c r="J22" s="11">
        <f t="shared" si="6"/>
        <v>0</v>
      </c>
      <c r="K22" s="11">
        <f t="shared" si="7"/>
        <v>12000</v>
      </c>
      <c r="L22" s="14">
        <f t="shared" si="8"/>
        <v>2</v>
      </c>
    </row>
    <row r="23" spans="1:12" x14ac:dyDescent="0.25">
      <c r="A23" s="14">
        <v>3</v>
      </c>
      <c r="B23" s="11">
        <f t="shared" si="0"/>
        <v>100000</v>
      </c>
      <c r="C23" s="11">
        <f t="shared" si="1"/>
        <v>0</v>
      </c>
      <c r="D23" s="11">
        <f t="shared" si="2"/>
        <v>0</v>
      </c>
      <c r="E23" s="11">
        <f t="shared" si="3"/>
        <v>0</v>
      </c>
      <c r="F23" s="11">
        <f>SUM($E$21:E23)</f>
        <v>0</v>
      </c>
      <c r="G23" s="11">
        <f t="shared" si="4"/>
        <v>6000</v>
      </c>
      <c r="H23" s="11">
        <f t="shared" si="5"/>
        <v>6000</v>
      </c>
      <c r="I23" s="11">
        <f>SUM($H$21:H23)</f>
        <v>18000</v>
      </c>
      <c r="J23" s="11">
        <f t="shared" si="6"/>
        <v>0</v>
      </c>
      <c r="K23" s="11">
        <f t="shared" si="7"/>
        <v>18000</v>
      </c>
      <c r="L23" s="14">
        <f t="shared" si="8"/>
        <v>3</v>
      </c>
    </row>
    <row r="24" spans="1:12" x14ac:dyDescent="0.25">
      <c r="A24" s="14">
        <v>4</v>
      </c>
      <c r="B24" s="11">
        <f t="shared" si="0"/>
        <v>100000</v>
      </c>
      <c r="C24" s="11">
        <f t="shared" si="1"/>
        <v>0</v>
      </c>
      <c r="D24" s="11">
        <f t="shared" si="2"/>
        <v>0</v>
      </c>
      <c r="E24" s="11">
        <f t="shared" si="3"/>
        <v>0</v>
      </c>
      <c r="F24" s="11">
        <f>SUM($E$21:E24)</f>
        <v>0</v>
      </c>
      <c r="G24" s="11">
        <f t="shared" si="4"/>
        <v>6000</v>
      </c>
      <c r="H24" s="11">
        <f t="shared" si="5"/>
        <v>6000</v>
      </c>
      <c r="I24" s="11">
        <f>SUM($H$21:H24)</f>
        <v>24000</v>
      </c>
      <c r="J24" s="11">
        <f t="shared" si="6"/>
        <v>0</v>
      </c>
      <c r="K24" s="11">
        <f t="shared" si="7"/>
        <v>24000</v>
      </c>
      <c r="L24" s="14">
        <f t="shared" si="8"/>
        <v>4</v>
      </c>
    </row>
    <row r="25" spans="1:12" x14ac:dyDescent="0.25">
      <c r="A25" s="14">
        <v>5</v>
      </c>
      <c r="B25" s="11">
        <f t="shared" si="0"/>
        <v>100000</v>
      </c>
      <c r="C25" s="11">
        <f t="shared" si="1"/>
        <v>0</v>
      </c>
      <c r="D25" s="11">
        <f t="shared" si="2"/>
        <v>0</v>
      </c>
      <c r="E25" s="11">
        <f t="shared" si="3"/>
        <v>0</v>
      </c>
      <c r="F25" s="11">
        <f>SUM($E$21:E25)</f>
        <v>0</v>
      </c>
      <c r="G25" s="11">
        <f t="shared" si="4"/>
        <v>6000</v>
      </c>
      <c r="H25" s="11">
        <f t="shared" si="5"/>
        <v>6000</v>
      </c>
      <c r="I25" s="11">
        <f>SUM($H$21:H25)</f>
        <v>30000</v>
      </c>
      <c r="J25" s="11">
        <f t="shared" si="6"/>
        <v>0</v>
      </c>
      <c r="K25" s="11">
        <f t="shared" si="7"/>
        <v>30000</v>
      </c>
      <c r="L25" s="14">
        <f t="shared" si="8"/>
        <v>5</v>
      </c>
    </row>
    <row r="26" spans="1:12" x14ac:dyDescent="0.25">
      <c r="A26" s="14">
        <v>6</v>
      </c>
      <c r="B26" s="11">
        <f t="shared" si="0"/>
        <v>100000</v>
      </c>
      <c r="C26" s="11">
        <f t="shared" si="1"/>
        <v>0</v>
      </c>
      <c r="D26" s="11">
        <f t="shared" si="2"/>
        <v>0</v>
      </c>
      <c r="E26" s="11">
        <f t="shared" si="3"/>
        <v>0</v>
      </c>
      <c r="F26" s="11">
        <f>SUM($E$21:E26)</f>
        <v>0</v>
      </c>
      <c r="G26" s="11">
        <f t="shared" si="4"/>
        <v>6000</v>
      </c>
      <c r="H26" s="11">
        <f t="shared" si="5"/>
        <v>6000</v>
      </c>
      <c r="I26" s="11">
        <f>SUM($H$21:H26)</f>
        <v>36000</v>
      </c>
      <c r="J26" s="11">
        <f t="shared" si="6"/>
        <v>0</v>
      </c>
      <c r="K26" s="11">
        <f t="shared" si="7"/>
        <v>36000</v>
      </c>
      <c r="L26" s="14">
        <f t="shared" si="8"/>
        <v>6</v>
      </c>
    </row>
    <row r="27" spans="1:12" x14ac:dyDescent="0.25">
      <c r="A27" s="14">
        <v>7</v>
      </c>
      <c r="B27" s="11">
        <f t="shared" si="0"/>
        <v>100000</v>
      </c>
      <c r="C27" s="11">
        <f t="shared" si="1"/>
        <v>0</v>
      </c>
      <c r="D27" s="11">
        <f t="shared" si="2"/>
        <v>0</v>
      </c>
      <c r="E27" s="11">
        <f t="shared" si="3"/>
        <v>0</v>
      </c>
      <c r="F27" s="11">
        <f>SUM($E$21:E27)</f>
        <v>0</v>
      </c>
      <c r="G27" s="11">
        <f t="shared" si="4"/>
        <v>6000</v>
      </c>
      <c r="H27" s="11">
        <f t="shared" si="5"/>
        <v>6000</v>
      </c>
      <c r="I27" s="11">
        <f>SUM($H$21:H27)</f>
        <v>42000</v>
      </c>
      <c r="J27" s="11">
        <f t="shared" si="6"/>
        <v>0</v>
      </c>
      <c r="K27" s="11">
        <f t="shared" si="7"/>
        <v>42000</v>
      </c>
      <c r="L27" s="14">
        <f t="shared" si="8"/>
        <v>7</v>
      </c>
    </row>
    <row r="28" spans="1:12" x14ac:dyDescent="0.25">
      <c r="A28" s="14">
        <v>8</v>
      </c>
      <c r="B28" s="11">
        <f t="shared" si="0"/>
        <v>100000</v>
      </c>
      <c r="C28" s="11">
        <f t="shared" si="1"/>
        <v>0</v>
      </c>
      <c r="D28" s="11">
        <f t="shared" si="2"/>
        <v>0</v>
      </c>
      <c r="E28" s="11">
        <f t="shared" si="3"/>
        <v>0</v>
      </c>
      <c r="F28" s="11">
        <f>SUM($E$21:E28)</f>
        <v>0</v>
      </c>
      <c r="G28" s="11">
        <f t="shared" si="4"/>
        <v>6000</v>
      </c>
      <c r="H28" s="11">
        <f t="shared" si="5"/>
        <v>6000</v>
      </c>
      <c r="I28" s="11">
        <f>SUM($H$21:H28)</f>
        <v>48000</v>
      </c>
      <c r="J28" s="11">
        <f t="shared" si="6"/>
        <v>0</v>
      </c>
      <c r="K28" s="11">
        <f t="shared" si="7"/>
        <v>48000</v>
      </c>
      <c r="L28" s="14">
        <f t="shared" si="8"/>
        <v>8</v>
      </c>
    </row>
    <row r="29" spans="1:12" x14ac:dyDescent="0.25">
      <c r="A29" s="14">
        <v>9</v>
      </c>
      <c r="B29" s="11">
        <f t="shared" si="0"/>
        <v>100000</v>
      </c>
      <c r="C29" s="11">
        <f t="shared" si="1"/>
        <v>0</v>
      </c>
      <c r="D29" s="11">
        <f t="shared" si="2"/>
        <v>0</v>
      </c>
      <c r="E29" s="11">
        <f t="shared" si="3"/>
        <v>0</v>
      </c>
      <c r="F29" s="11">
        <f>SUM($E$21:E29)</f>
        <v>0</v>
      </c>
      <c r="G29" s="11">
        <f t="shared" si="4"/>
        <v>6000</v>
      </c>
      <c r="H29" s="11">
        <f t="shared" si="5"/>
        <v>6000</v>
      </c>
      <c r="I29" s="11">
        <f>SUM($H$21:H29)</f>
        <v>54000</v>
      </c>
      <c r="J29" s="11">
        <f t="shared" si="6"/>
        <v>0</v>
      </c>
      <c r="K29" s="11">
        <f t="shared" si="7"/>
        <v>54000</v>
      </c>
      <c r="L29" s="14">
        <f t="shared" si="8"/>
        <v>9</v>
      </c>
    </row>
    <row r="30" spans="1:12" x14ac:dyDescent="0.25">
      <c r="A30" s="14">
        <v>10</v>
      </c>
      <c r="B30" s="11">
        <f t="shared" si="0"/>
        <v>100000</v>
      </c>
      <c r="C30" s="11">
        <f t="shared" si="1"/>
        <v>0</v>
      </c>
      <c r="D30" s="11">
        <f t="shared" si="2"/>
        <v>0</v>
      </c>
      <c r="E30" s="11">
        <f t="shared" si="3"/>
        <v>0</v>
      </c>
      <c r="F30" s="11">
        <f>SUM($E$21:E30)</f>
        <v>0</v>
      </c>
      <c r="G30" s="11">
        <f t="shared" si="4"/>
        <v>6000</v>
      </c>
      <c r="H30" s="11">
        <f t="shared" si="5"/>
        <v>6000</v>
      </c>
      <c r="I30" s="11">
        <f>SUM($H$21:H30)</f>
        <v>60000</v>
      </c>
      <c r="J30" s="11">
        <f t="shared" si="6"/>
        <v>0</v>
      </c>
      <c r="K30" s="11">
        <f t="shared" si="7"/>
        <v>60000</v>
      </c>
      <c r="L30" s="14">
        <f t="shared" si="8"/>
        <v>10</v>
      </c>
    </row>
    <row r="31" spans="1:12" x14ac:dyDescent="0.25">
      <c r="A31" s="14">
        <v>11</v>
      </c>
      <c r="B31" s="11">
        <f t="shared" si="0"/>
        <v>100000</v>
      </c>
      <c r="C31" s="11">
        <f t="shared" si="1"/>
        <v>0</v>
      </c>
      <c r="D31" s="11">
        <f t="shared" si="2"/>
        <v>0</v>
      </c>
      <c r="E31" s="11">
        <f t="shared" si="3"/>
        <v>0</v>
      </c>
      <c r="F31" s="11">
        <f>SUM($E$21:E31)</f>
        <v>0</v>
      </c>
      <c r="G31" s="11">
        <f t="shared" si="4"/>
        <v>6000</v>
      </c>
      <c r="H31" s="11">
        <f t="shared" si="5"/>
        <v>6000</v>
      </c>
      <c r="I31" s="11">
        <f>SUM($H$21:H31)</f>
        <v>66000</v>
      </c>
      <c r="J31" s="11">
        <f t="shared" si="6"/>
        <v>0</v>
      </c>
      <c r="K31" s="11">
        <f t="shared" si="7"/>
        <v>66000</v>
      </c>
      <c r="L31" s="14">
        <f t="shared" si="8"/>
        <v>11</v>
      </c>
    </row>
    <row r="32" spans="1:12" x14ac:dyDescent="0.25">
      <c r="A32" s="14">
        <v>12</v>
      </c>
      <c r="B32" s="11">
        <f t="shared" si="0"/>
        <v>100000</v>
      </c>
      <c r="C32" s="11">
        <f t="shared" si="1"/>
        <v>0</v>
      </c>
      <c r="D32" s="11">
        <f t="shared" si="2"/>
        <v>0</v>
      </c>
      <c r="E32" s="11">
        <f t="shared" si="3"/>
        <v>0</v>
      </c>
      <c r="F32" s="11">
        <f>SUM($E$21:E32)</f>
        <v>0</v>
      </c>
      <c r="G32" s="11">
        <f t="shared" si="4"/>
        <v>6000</v>
      </c>
      <c r="H32" s="11">
        <f t="shared" si="5"/>
        <v>6000</v>
      </c>
      <c r="I32" s="11">
        <f>SUM($H$21:H32)</f>
        <v>72000</v>
      </c>
      <c r="J32" s="11">
        <f t="shared" si="6"/>
        <v>0</v>
      </c>
      <c r="K32" s="11">
        <f t="shared" si="7"/>
        <v>72000</v>
      </c>
      <c r="L32" s="14">
        <f t="shared" si="8"/>
        <v>12</v>
      </c>
    </row>
    <row r="33" spans="1:12" x14ac:dyDescent="0.25">
      <c r="A33" s="14">
        <v>13</v>
      </c>
      <c r="B33" s="11">
        <f t="shared" si="0"/>
        <v>100000</v>
      </c>
      <c r="C33" s="11">
        <f t="shared" si="1"/>
        <v>0</v>
      </c>
      <c r="D33" s="11">
        <f t="shared" si="2"/>
        <v>0</v>
      </c>
      <c r="E33" s="11">
        <f t="shared" si="3"/>
        <v>0</v>
      </c>
      <c r="F33" s="11">
        <f>SUM($E$21:E33)</f>
        <v>0</v>
      </c>
      <c r="G33" s="11">
        <f t="shared" si="4"/>
        <v>6000</v>
      </c>
      <c r="H33" s="11">
        <f t="shared" si="5"/>
        <v>6000</v>
      </c>
      <c r="I33" s="11">
        <f>SUM($H$21:H33)</f>
        <v>78000</v>
      </c>
      <c r="J33" s="11">
        <f t="shared" si="6"/>
        <v>0</v>
      </c>
      <c r="K33" s="11">
        <f t="shared" si="7"/>
        <v>78000</v>
      </c>
      <c r="L33" s="14">
        <f t="shared" si="8"/>
        <v>13</v>
      </c>
    </row>
    <row r="34" spans="1:12" x14ac:dyDescent="0.25">
      <c r="A34" s="14">
        <v>14</v>
      </c>
      <c r="B34" s="11">
        <f t="shared" si="0"/>
        <v>100000</v>
      </c>
      <c r="C34" s="11">
        <f t="shared" si="1"/>
        <v>0</v>
      </c>
      <c r="D34" s="11">
        <f t="shared" si="2"/>
        <v>0</v>
      </c>
      <c r="E34" s="11">
        <f t="shared" si="3"/>
        <v>0</v>
      </c>
      <c r="F34" s="11">
        <f>SUM($E$21:E34)</f>
        <v>0</v>
      </c>
      <c r="G34" s="11">
        <f t="shared" si="4"/>
        <v>6000</v>
      </c>
      <c r="H34" s="11">
        <f t="shared" si="5"/>
        <v>6000</v>
      </c>
      <c r="I34" s="11">
        <f>SUM($H$21:H34)</f>
        <v>84000</v>
      </c>
      <c r="J34" s="11">
        <f t="shared" si="6"/>
        <v>0</v>
      </c>
      <c r="K34" s="11">
        <f t="shared" si="7"/>
        <v>84000</v>
      </c>
      <c r="L34" s="14">
        <f t="shared" si="8"/>
        <v>14</v>
      </c>
    </row>
    <row r="35" spans="1:12" x14ac:dyDescent="0.25">
      <c r="A35" s="14">
        <v>15</v>
      </c>
      <c r="B35" s="11">
        <f t="shared" si="0"/>
        <v>100000</v>
      </c>
      <c r="C35" s="11">
        <f t="shared" si="1"/>
        <v>0</v>
      </c>
      <c r="D35" s="11">
        <f t="shared" si="2"/>
        <v>0</v>
      </c>
      <c r="E35" s="11">
        <f t="shared" si="3"/>
        <v>0</v>
      </c>
      <c r="F35" s="11">
        <f>SUM($E$21:E35)</f>
        <v>0</v>
      </c>
      <c r="G35" s="11">
        <f t="shared" si="4"/>
        <v>6000</v>
      </c>
      <c r="H35" s="11">
        <f t="shared" si="5"/>
        <v>6000</v>
      </c>
      <c r="I35" s="11">
        <f>SUM($H$21:H35)</f>
        <v>90000</v>
      </c>
      <c r="J35" s="11">
        <f t="shared" si="6"/>
        <v>0</v>
      </c>
      <c r="K35" s="11">
        <f t="shared" si="7"/>
        <v>90000</v>
      </c>
      <c r="L35" s="14">
        <f t="shared" si="8"/>
        <v>15</v>
      </c>
    </row>
    <row r="36" spans="1:12" x14ac:dyDescent="0.25">
      <c r="A36" s="14">
        <v>16</v>
      </c>
      <c r="B36" s="11">
        <f t="shared" si="0"/>
        <v>100000</v>
      </c>
      <c r="C36" s="11">
        <f t="shared" si="1"/>
        <v>0</v>
      </c>
      <c r="D36" s="11">
        <f t="shared" si="2"/>
        <v>0</v>
      </c>
      <c r="E36" s="11">
        <f t="shared" si="3"/>
        <v>0</v>
      </c>
      <c r="F36" s="11">
        <f>SUM($E$21:E36)</f>
        <v>0</v>
      </c>
      <c r="G36" s="11">
        <f t="shared" si="4"/>
        <v>6000</v>
      </c>
      <c r="H36" s="11">
        <f t="shared" si="5"/>
        <v>6000</v>
      </c>
      <c r="I36" s="11">
        <f>SUM($H$21:H36)</f>
        <v>96000</v>
      </c>
      <c r="J36" s="11">
        <f t="shared" si="6"/>
        <v>0</v>
      </c>
      <c r="K36" s="11">
        <f t="shared" si="7"/>
        <v>96000</v>
      </c>
      <c r="L36" s="14">
        <f t="shared" si="8"/>
        <v>16</v>
      </c>
    </row>
    <row r="37" spans="1:12" x14ac:dyDescent="0.25">
      <c r="A37" s="14">
        <v>17</v>
      </c>
      <c r="B37" s="11">
        <f t="shared" si="0"/>
        <v>100000</v>
      </c>
      <c r="C37" s="11">
        <f t="shared" si="1"/>
        <v>0</v>
      </c>
      <c r="D37" s="11">
        <f t="shared" si="2"/>
        <v>0</v>
      </c>
      <c r="E37" s="11">
        <f t="shared" si="3"/>
        <v>0</v>
      </c>
      <c r="F37" s="11">
        <f>SUM($E$21:E37)</f>
        <v>0</v>
      </c>
      <c r="G37" s="11">
        <f t="shared" si="4"/>
        <v>6000</v>
      </c>
      <c r="H37" s="11">
        <f t="shared" si="5"/>
        <v>6000</v>
      </c>
      <c r="I37" s="11">
        <f>SUM($H$21:H37)</f>
        <v>102000</v>
      </c>
      <c r="J37" s="11">
        <f t="shared" si="6"/>
        <v>0</v>
      </c>
      <c r="K37" s="11">
        <f t="shared" si="7"/>
        <v>102000</v>
      </c>
      <c r="L37" s="14">
        <f t="shared" si="8"/>
        <v>17</v>
      </c>
    </row>
    <row r="38" spans="1:12" x14ac:dyDescent="0.25">
      <c r="A38" s="14">
        <v>18</v>
      </c>
      <c r="B38" s="11">
        <f t="shared" si="0"/>
        <v>100000</v>
      </c>
      <c r="C38" s="11">
        <f t="shared" si="1"/>
        <v>0</v>
      </c>
      <c r="D38" s="11">
        <f t="shared" si="2"/>
        <v>0</v>
      </c>
      <c r="E38" s="11">
        <f t="shared" si="3"/>
        <v>0</v>
      </c>
      <c r="F38" s="11">
        <f>SUM($E$21:E38)</f>
        <v>0</v>
      </c>
      <c r="G38" s="11">
        <f t="shared" si="4"/>
        <v>6000</v>
      </c>
      <c r="H38" s="11">
        <f t="shared" si="5"/>
        <v>6000</v>
      </c>
      <c r="I38" s="11">
        <f>SUM($H$21:H38)</f>
        <v>108000</v>
      </c>
      <c r="J38" s="11">
        <f t="shared" si="6"/>
        <v>0</v>
      </c>
      <c r="K38" s="11">
        <f t="shared" si="7"/>
        <v>108000</v>
      </c>
      <c r="L38" s="14">
        <f t="shared" si="8"/>
        <v>18</v>
      </c>
    </row>
    <row r="39" spans="1:12" x14ac:dyDescent="0.25">
      <c r="A39" s="14">
        <v>19</v>
      </c>
      <c r="B39" s="11">
        <f t="shared" si="0"/>
        <v>100000</v>
      </c>
      <c r="C39" s="11">
        <f t="shared" si="1"/>
        <v>0</v>
      </c>
      <c r="D39" s="11">
        <f t="shared" si="2"/>
        <v>0</v>
      </c>
      <c r="E39" s="11">
        <f t="shared" si="3"/>
        <v>0</v>
      </c>
      <c r="F39" s="11">
        <f>SUM($E$21:E39)</f>
        <v>0</v>
      </c>
      <c r="G39" s="11">
        <f t="shared" si="4"/>
        <v>6000</v>
      </c>
      <c r="H39" s="11">
        <f t="shared" si="5"/>
        <v>6000</v>
      </c>
      <c r="I39" s="11">
        <f>SUM($H$21:H39)</f>
        <v>114000</v>
      </c>
      <c r="J39" s="11">
        <f t="shared" si="6"/>
        <v>0</v>
      </c>
      <c r="K39" s="11">
        <f t="shared" si="7"/>
        <v>114000</v>
      </c>
      <c r="L39" s="14">
        <f t="shared" si="8"/>
        <v>19</v>
      </c>
    </row>
    <row r="40" spans="1:12" x14ac:dyDescent="0.25">
      <c r="A40" s="14">
        <v>20</v>
      </c>
      <c r="B40" s="11">
        <f t="shared" si="0"/>
        <v>100000</v>
      </c>
      <c r="C40" s="11">
        <f t="shared" si="1"/>
        <v>0</v>
      </c>
      <c r="D40" s="11">
        <f t="shared" si="2"/>
        <v>0</v>
      </c>
      <c r="E40" s="11">
        <f t="shared" si="3"/>
        <v>0</v>
      </c>
      <c r="F40" s="11">
        <f>SUM($E$21:E40)</f>
        <v>0</v>
      </c>
      <c r="G40" s="11">
        <f t="shared" si="4"/>
        <v>6000</v>
      </c>
      <c r="H40" s="11">
        <f t="shared" si="5"/>
        <v>6000</v>
      </c>
      <c r="I40" s="11">
        <f>SUM($H$21:H40)</f>
        <v>120000</v>
      </c>
      <c r="J40" s="11">
        <f t="shared" si="6"/>
        <v>0</v>
      </c>
      <c r="K40" s="11">
        <f t="shared" si="7"/>
        <v>120000</v>
      </c>
      <c r="L40" s="14">
        <f t="shared" si="8"/>
        <v>20</v>
      </c>
    </row>
    <row r="41" spans="1:12" x14ac:dyDescent="0.25">
      <c r="A41" s="14">
        <v>21</v>
      </c>
      <c r="B41" s="11">
        <f t="shared" si="0"/>
        <v>100000</v>
      </c>
      <c r="C41" s="11">
        <f t="shared" si="1"/>
        <v>0</v>
      </c>
      <c r="D41" s="11">
        <f t="shared" si="2"/>
        <v>0</v>
      </c>
      <c r="E41" s="11">
        <f t="shared" si="3"/>
        <v>0</v>
      </c>
      <c r="F41" s="11">
        <f>SUM($E$21:E41)</f>
        <v>0</v>
      </c>
      <c r="G41" s="11">
        <f t="shared" si="4"/>
        <v>6000</v>
      </c>
      <c r="H41" s="11">
        <f t="shared" si="5"/>
        <v>6000</v>
      </c>
      <c r="I41" s="11">
        <f>SUM($H$21:H41)</f>
        <v>126000</v>
      </c>
      <c r="J41" s="11">
        <f t="shared" si="6"/>
        <v>0</v>
      </c>
      <c r="K41" s="11">
        <f t="shared" si="7"/>
        <v>126000</v>
      </c>
      <c r="L41" s="14">
        <f t="shared" si="8"/>
        <v>21</v>
      </c>
    </row>
    <row r="42" spans="1:12" x14ac:dyDescent="0.25">
      <c r="A42" s="14">
        <v>22</v>
      </c>
      <c r="B42" s="11">
        <f t="shared" si="0"/>
        <v>100000</v>
      </c>
      <c r="C42" s="11">
        <f t="shared" si="1"/>
        <v>0</v>
      </c>
      <c r="D42" s="11">
        <f t="shared" si="2"/>
        <v>0</v>
      </c>
      <c r="E42" s="11">
        <f t="shared" si="3"/>
        <v>0</v>
      </c>
      <c r="F42" s="11">
        <f>SUM($E$21:E42)</f>
        <v>0</v>
      </c>
      <c r="G42" s="11">
        <f t="shared" si="4"/>
        <v>6000</v>
      </c>
      <c r="H42" s="11">
        <f t="shared" si="5"/>
        <v>6000</v>
      </c>
      <c r="I42" s="11">
        <f>SUM($H$21:H42)</f>
        <v>132000</v>
      </c>
      <c r="J42" s="11">
        <f t="shared" si="6"/>
        <v>0</v>
      </c>
      <c r="K42" s="11">
        <f t="shared" si="7"/>
        <v>132000</v>
      </c>
      <c r="L42" s="14">
        <f t="shared" si="8"/>
        <v>22</v>
      </c>
    </row>
    <row r="43" spans="1:12" x14ac:dyDescent="0.25">
      <c r="A43" s="14">
        <v>23</v>
      </c>
      <c r="B43" s="11">
        <f t="shared" si="0"/>
        <v>100000</v>
      </c>
      <c r="C43" s="11">
        <f t="shared" si="1"/>
        <v>0</v>
      </c>
      <c r="D43" s="11">
        <f t="shared" si="2"/>
        <v>0</v>
      </c>
      <c r="E43" s="11">
        <f t="shared" si="3"/>
        <v>0</v>
      </c>
      <c r="F43" s="11">
        <f>SUM($E$21:E43)</f>
        <v>0</v>
      </c>
      <c r="G43" s="11">
        <f t="shared" si="4"/>
        <v>6000</v>
      </c>
      <c r="H43" s="11">
        <f t="shared" si="5"/>
        <v>6000</v>
      </c>
      <c r="I43" s="11">
        <f>SUM($H$21:H43)</f>
        <v>138000</v>
      </c>
      <c r="J43" s="11">
        <f t="shared" si="6"/>
        <v>0</v>
      </c>
      <c r="K43" s="11">
        <f t="shared" si="7"/>
        <v>138000</v>
      </c>
      <c r="L43" s="14">
        <f t="shared" si="8"/>
        <v>23</v>
      </c>
    </row>
    <row r="44" spans="1:12" x14ac:dyDescent="0.25">
      <c r="A44" s="14">
        <v>24</v>
      </c>
      <c r="B44" s="11">
        <f t="shared" si="0"/>
        <v>100000</v>
      </c>
      <c r="C44" s="11">
        <f t="shared" si="1"/>
        <v>0</v>
      </c>
      <c r="D44" s="11">
        <f t="shared" si="2"/>
        <v>0</v>
      </c>
      <c r="E44" s="11">
        <f t="shared" si="3"/>
        <v>0</v>
      </c>
      <c r="F44" s="11">
        <f>SUM($E$21:E44)</f>
        <v>0</v>
      </c>
      <c r="G44" s="11">
        <f t="shared" si="4"/>
        <v>6000</v>
      </c>
      <c r="H44" s="11">
        <f t="shared" si="5"/>
        <v>6000</v>
      </c>
      <c r="I44" s="11">
        <f>SUM($H$21:H44)</f>
        <v>144000</v>
      </c>
      <c r="J44" s="11">
        <f t="shared" si="6"/>
        <v>0</v>
      </c>
      <c r="K44" s="11">
        <f t="shared" si="7"/>
        <v>144000</v>
      </c>
      <c r="L44" s="14">
        <f t="shared" si="8"/>
        <v>24</v>
      </c>
    </row>
    <row r="45" spans="1:12" x14ac:dyDescent="0.25">
      <c r="A45" s="14">
        <v>25</v>
      </c>
      <c r="B45" s="11">
        <f t="shared" si="0"/>
        <v>100000</v>
      </c>
      <c r="C45" s="11">
        <f t="shared" si="1"/>
        <v>0</v>
      </c>
      <c r="D45" s="11">
        <f t="shared" si="2"/>
        <v>0</v>
      </c>
      <c r="E45" s="11">
        <f t="shared" si="3"/>
        <v>0</v>
      </c>
      <c r="F45" s="11">
        <f>SUM($E$21:E45)</f>
        <v>0</v>
      </c>
      <c r="G45" s="11">
        <f t="shared" si="4"/>
        <v>6000</v>
      </c>
      <c r="H45" s="11">
        <f t="shared" si="5"/>
        <v>6000</v>
      </c>
      <c r="I45" s="11">
        <f>SUM($H$21:H45)</f>
        <v>150000</v>
      </c>
      <c r="J45" s="11">
        <f t="shared" si="6"/>
        <v>0</v>
      </c>
      <c r="K45" s="11">
        <f t="shared" si="7"/>
        <v>150000</v>
      </c>
      <c r="L45" s="14">
        <f t="shared" si="8"/>
        <v>25</v>
      </c>
    </row>
    <row r="46" spans="1:12" x14ac:dyDescent="0.25">
      <c r="A46" s="14">
        <v>26</v>
      </c>
      <c r="B46" s="11">
        <f t="shared" si="0"/>
        <v>100000</v>
      </c>
      <c r="C46" s="11">
        <f t="shared" si="1"/>
        <v>0</v>
      </c>
      <c r="D46" s="11">
        <f t="shared" si="2"/>
        <v>0</v>
      </c>
      <c r="E46" s="11">
        <f t="shared" si="3"/>
        <v>0</v>
      </c>
      <c r="F46" s="11">
        <f>SUM($E$21:E46)</f>
        <v>0</v>
      </c>
      <c r="G46" s="11">
        <f t="shared" si="4"/>
        <v>6000</v>
      </c>
      <c r="H46" s="11">
        <f t="shared" si="5"/>
        <v>6000</v>
      </c>
      <c r="I46" s="11">
        <f>SUM($H$21:H46)</f>
        <v>156000</v>
      </c>
      <c r="J46" s="11">
        <f t="shared" si="6"/>
        <v>0</v>
      </c>
      <c r="K46" s="11">
        <f t="shared" si="7"/>
        <v>156000</v>
      </c>
      <c r="L46" s="14">
        <f t="shared" si="8"/>
        <v>26</v>
      </c>
    </row>
    <row r="47" spans="1:12" x14ac:dyDescent="0.25">
      <c r="A47" s="14">
        <v>27</v>
      </c>
      <c r="B47" s="11">
        <f t="shared" si="0"/>
        <v>100000</v>
      </c>
      <c r="C47" s="11">
        <f t="shared" si="1"/>
        <v>0</v>
      </c>
      <c r="D47" s="11">
        <f t="shared" si="2"/>
        <v>0</v>
      </c>
      <c r="E47" s="11">
        <f t="shared" si="3"/>
        <v>0</v>
      </c>
      <c r="F47" s="11">
        <f>SUM($E$21:E47)</f>
        <v>0</v>
      </c>
      <c r="G47" s="11">
        <f t="shared" si="4"/>
        <v>6000</v>
      </c>
      <c r="H47" s="11">
        <f t="shared" si="5"/>
        <v>6000</v>
      </c>
      <c r="I47" s="11">
        <f>SUM($H$21:H47)</f>
        <v>162000</v>
      </c>
      <c r="J47" s="11">
        <f t="shared" si="6"/>
        <v>0</v>
      </c>
      <c r="K47" s="11">
        <f t="shared" si="7"/>
        <v>162000</v>
      </c>
      <c r="L47" s="14">
        <f t="shared" si="8"/>
        <v>27</v>
      </c>
    </row>
    <row r="48" spans="1:12" x14ac:dyDescent="0.25">
      <c r="A48" s="14">
        <v>28</v>
      </c>
      <c r="B48" s="11">
        <f t="shared" si="0"/>
        <v>100000</v>
      </c>
      <c r="C48" s="11">
        <f t="shared" si="1"/>
        <v>0</v>
      </c>
      <c r="D48" s="11">
        <f t="shared" si="2"/>
        <v>0</v>
      </c>
      <c r="E48" s="11">
        <f t="shared" si="3"/>
        <v>0</v>
      </c>
      <c r="F48" s="11">
        <f>SUM($E$21:E48)</f>
        <v>0</v>
      </c>
      <c r="G48" s="11">
        <f t="shared" si="4"/>
        <v>6000</v>
      </c>
      <c r="H48" s="11">
        <f t="shared" si="5"/>
        <v>6000</v>
      </c>
      <c r="I48" s="11">
        <f>SUM($H$21:H48)</f>
        <v>168000</v>
      </c>
      <c r="J48" s="11">
        <f t="shared" si="6"/>
        <v>0</v>
      </c>
      <c r="K48" s="11">
        <f t="shared" si="7"/>
        <v>168000</v>
      </c>
      <c r="L48" s="14">
        <f t="shared" si="8"/>
        <v>28</v>
      </c>
    </row>
    <row r="49" spans="1:12" x14ac:dyDescent="0.25">
      <c r="A49" s="14">
        <v>29</v>
      </c>
      <c r="B49" s="11">
        <f t="shared" si="0"/>
        <v>100000</v>
      </c>
      <c r="C49" s="11">
        <f t="shared" si="1"/>
        <v>0</v>
      </c>
      <c r="D49" s="11">
        <f t="shared" si="2"/>
        <v>0</v>
      </c>
      <c r="E49" s="11">
        <f t="shared" si="3"/>
        <v>0</v>
      </c>
      <c r="F49" s="11">
        <f>SUM($E$21:E49)</f>
        <v>0</v>
      </c>
      <c r="G49" s="11">
        <f t="shared" si="4"/>
        <v>6000</v>
      </c>
      <c r="H49" s="11">
        <f t="shared" si="5"/>
        <v>6000</v>
      </c>
      <c r="I49" s="11">
        <f>SUM($H$21:H49)</f>
        <v>174000</v>
      </c>
      <c r="J49" s="11">
        <f t="shared" si="6"/>
        <v>0</v>
      </c>
      <c r="K49" s="11">
        <f t="shared" si="7"/>
        <v>174000</v>
      </c>
      <c r="L49" s="14">
        <f t="shared" si="8"/>
        <v>29</v>
      </c>
    </row>
    <row r="50" spans="1:12" x14ac:dyDescent="0.25">
      <c r="A50" s="14">
        <v>30</v>
      </c>
      <c r="B50" s="11">
        <f t="shared" si="0"/>
        <v>100000</v>
      </c>
      <c r="C50" s="11">
        <f t="shared" si="1"/>
        <v>0</v>
      </c>
      <c r="D50" s="11">
        <f t="shared" si="2"/>
        <v>0</v>
      </c>
      <c r="E50" s="11">
        <f t="shared" si="3"/>
        <v>0</v>
      </c>
      <c r="F50" s="11">
        <f>SUM($E$21:E50)</f>
        <v>0</v>
      </c>
      <c r="G50" s="11">
        <f t="shared" si="4"/>
        <v>6000</v>
      </c>
      <c r="H50" s="11">
        <f t="shared" si="5"/>
        <v>6000</v>
      </c>
      <c r="I50" s="11">
        <f>SUM($H$21:H50)</f>
        <v>180000</v>
      </c>
      <c r="J50" s="11">
        <f t="shared" si="6"/>
        <v>0</v>
      </c>
      <c r="K50" s="11">
        <f t="shared" si="7"/>
        <v>180000</v>
      </c>
      <c r="L50" s="14">
        <f t="shared" si="8"/>
        <v>30</v>
      </c>
    </row>
  </sheetData>
  <mergeCells count="1">
    <mergeCell ref="A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"/>
  <sheetViews>
    <sheetView workbookViewId="0">
      <pane ySplit="20" topLeftCell="A21" activePane="bottomLeft" state="frozen"/>
      <selection pane="bottomLeft"/>
    </sheetView>
  </sheetViews>
  <sheetFormatPr defaultRowHeight="15" x14ac:dyDescent="0.25"/>
  <cols>
    <col min="1" max="1" width="27" customWidth="1"/>
    <col min="2" max="3" width="15" customWidth="1"/>
    <col min="4" max="4" width="30" customWidth="1"/>
    <col min="5" max="5" width="17" customWidth="1"/>
    <col min="6" max="6" width="15" customWidth="1"/>
    <col min="7" max="7" width="17" customWidth="1"/>
    <col min="8" max="10" width="15" customWidth="1"/>
    <col min="11" max="11" width="17" customWidth="1"/>
    <col min="12" max="12" width="11" customWidth="1"/>
  </cols>
  <sheetData>
    <row r="1" spans="1:12" ht="16.5" x14ac:dyDescent="0.25">
      <c r="A1" s="1" t="s">
        <v>101</v>
      </c>
    </row>
    <row r="2" spans="1:12" ht="48" customHeight="1" x14ac:dyDescent="0.25">
      <c r="A2" s="22" t="s">
        <v>102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t="s">
        <v>54</v>
      </c>
      <c r="D3" t="s">
        <v>55</v>
      </c>
    </row>
    <row r="4" spans="1:12" x14ac:dyDescent="0.25">
      <c r="A4" s="2" t="s">
        <v>56</v>
      </c>
      <c r="B4" s="10">
        <v>200000</v>
      </c>
      <c r="D4" s="2" t="s">
        <v>57</v>
      </c>
      <c r="E4" s="11">
        <f>(1-$B$6)*$B$4</f>
        <v>0</v>
      </c>
    </row>
    <row r="5" spans="1:12" x14ac:dyDescent="0.25">
      <c r="A5" s="2" t="s">
        <v>58</v>
      </c>
      <c r="B5" s="10">
        <v>1000</v>
      </c>
      <c r="D5" s="2" t="s">
        <v>59</v>
      </c>
      <c r="E5" s="12">
        <f>$B$7/12</f>
        <v>5.0000000000000001E-3</v>
      </c>
    </row>
    <row r="6" spans="1:12" x14ac:dyDescent="0.25">
      <c r="A6" s="2" t="s">
        <v>60</v>
      </c>
      <c r="B6" s="13">
        <v>1</v>
      </c>
      <c r="D6" s="2" t="s">
        <v>61</v>
      </c>
      <c r="E6" s="14">
        <f>12*$B$8</f>
        <v>360</v>
      </c>
    </row>
    <row r="7" spans="1:12" x14ac:dyDescent="0.25">
      <c r="A7" s="2" t="s">
        <v>62</v>
      </c>
      <c r="B7" s="15">
        <v>0.06</v>
      </c>
      <c r="D7" s="2" t="s">
        <v>63</v>
      </c>
      <c r="E7" s="11">
        <f>IF($E$4=0,0,IF($E$5=0,$E$4/$E$6,$E$4*$E$5*(1+$E$5)^$E$6/((1+$E$5)^$E$6-1)))</f>
        <v>0</v>
      </c>
      <c r="G7" s="10">
        <v>0</v>
      </c>
      <c r="H7" s="10">
        <v>0</v>
      </c>
      <c r="I7" s="2" t="str">
        <f>IF(ABS(E7-H7)&lt;0.01,"PASS","FAIL")</f>
        <v>PASS</v>
      </c>
      <c r="J7" s="2" t="str">
        <f>IF(ABS(E7-G7)&lt;0.01,"PASS","FAIL")</f>
        <v>PASS</v>
      </c>
    </row>
    <row r="8" spans="1:12" x14ac:dyDescent="0.25">
      <c r="A8" s="2" t="s">
        <v>64</v>
      </c>
      <c r="B8" s="16">
        <v>30</v>
      </c>
      <c r="G8" s="17" t="s">
        <v>65</v>
      </c>
      <c r="H8" s="17" t="s">
        <v>66</v>
      </c>
      <c r="I8" s="17" t="s">
        <v>67</v>
      </c>
      <c r="J8" s="17" t="s">
        <v>68</v>
      </c>
    </row>
    <row r="9" spans="1:12" x14ac:dyDescent="0.25">
      <c r="A9" s="2" t="s">
        <v>69</v>
      </c>
      <c r="B9" s="16">
        <v>5</v>
      </c>
      <c r="D9" s="2" t="s">
        <v>70</v>
      </c>
      <c r="E9" s="11">
        <f>INDEX(J21:J50,$B$9)</f>
        <v>38000</v>
      </c>
      <c r="G9" s="10">
        <v>38000</v>
      </c>
      <c r="H9" s="10">
        <v>38000</v>
      </c>
      <c r="I9" s="2" t="str">
        <f>IF(ABS(E9-H9)&lt;0.01,"PASS","FAIL")</f>
        <v>PASS</v>
      </c>
      <c r="J9" s="2" t="str">
        <f>IF(ABS(E9-G9)&lt;0.01,"PASS","FAIL")</f>
        <v>PASS</v>
      </c>
    </row>
    <row r="10" spans="1:12" x14ac:dyDescent="0.25">
      <c r="A10" s="2" t="s">
        <v>71</v>
      </c>
      <c r="B10" s="13">
        <v>0.01</v>
      </c>
      <c r="D10" s="2" t="s">
        <v>72</v>
      </c>
      <c r="E10" s="11">
        <f>INDEX(I21:I50,$B$9)</f>
        <v>60000</v>
      </c>
      <c r="G10" s="10">
        <v>60000</v>
      </c>
      <c r="H10" s="10">
        <v>60000</v>
      </c>
      <c r="I10" s="2" t="str">
        <f>IF(ABS(E10-H10)&lt;0.01,"PASS","FAIL")</f>
        <v>PASS</v>
      </c>
      <c r="J10" s="2" t="str">
        <f>IF(ABS(E10-G10)&lt;0.01,"PASS","FAIL")</f>
        <v>PASS</v>
      </c>
    </row>
    <row r="11" spans="1:12" x14ac:dyDescent="0.25">
      <c r="A11" s="2" t="s">
        <v>73</v>
      </c>
      <c r="B11" s="13">
        <v>0.01</v>
      </c>
      <c r="D11" s="3" t="s">
        <v>74</v>
      </c>
      <c r="E11" s="18">
        <f>INDEX(K21:K50,$B$9)</f>
        <v>22000</v>
      </c>
      <c r="G11" s="10">
        <v>22000</v>
      </c>
      <c r="H11" s="10">
        <v>22000</v>
      </c>
      <c r="I11" s="2" t="str">
        <f>IF(ABS(E11-H11)&lt;0.01,"PASS","FAIL")</f>
        <v>PASS</v>
      </c>
      <c r="J11" s="2" t="str">
        <f>IF(ABS(E11-G11)&lt;0.01,"PASS","FAIL")</f>
        <v>PASS</v>
      </c>
    </row>
    <row r="12" spans="1:12" x14ac:dyDescent="0.25">
      <c r="A12" s="2" t="s">
        <v>75</v>
      </c>
      <c r="B12" s="13">
        <v>0</v>
      </c>
      <c r="D12" s="2" t="s">
        <v>76</v>
      </c>
      <c r="E12" s="19" t="str">
        <f>IF(E11&gt;=0,"buy","rent")</f>
        <v>buy</v>
      </c>
      <c r="G12" s="20" t="s">
        <v>77</v>
      </c>
      <c r="H12" s="20" t="s">
        <v>77</v>
      </c>
      <c r="I12" s="2" t="str">
        <f>IF(E12=H12,"PASS","FAIL")</f>
        <v>PASS</v>
      </c>
      <c r="J12" s="2" t="str">
        <f>IF(E12=G12,"PASS","FAIL")</f>
        <v>PASS</v>
      </c>
    </row>
    <row r="13" spans="1:12" x14ac:dyDescent="0.25">
      <c r="A13" s="2" t="s">
        <v>78</v>
      </c>
      <c r="B13" s="13">
        <v>0.03</v>
      </c>
      <c r="D13" s="2" t="s">
        <v>79</v>
      </c>
      <c r="E13" s="14">
        <f>IF(COUNT(L21:L50)=0,"never",MIN(L21:L50))</f>
        <v>3</v>
      </c>
      <c r="G13" s="16">
        <v>3</v>
      </c>
      <c r="H13" s="16">
        <v>3</v>
      </c>
      <c r="I13" s="2" t="str">
        <f>IF(ABS(E13-H13)&lt;0.01,"PASS","FAIL")</f>
        <v>PASS</v>
      </c>
      <c r="J13" s="2" t="str">
        <f>IF(ABS(E13-G13)&lt;0.01,"PASS","FAIL")</f>
        <v>PASS</v>
      </c>
    </row>
    <row r="14" spans="1:12" x14ac:dyDescent="0.25">
      <c r="A14" s="2" t="s">
        <v>80</v>
      </c>
      <c r="B14" s="13">
        <v>0.06</v>
      </c>
      <c r="D14" s="2" t="s">
        <v>81</v>
      </c>
      <c r="E14" s="11">
        <f>($B$15+$B$10+$B$11+$B$12-$B$16)*$B$4</f>
        <v>4000</v>
      </c>
      <c r="G14" s="10">
        <v>4000</v>
      </c>
      <c r="H14" s="10">
        <v>4000</v>
      </c>
      <c r="I14" s="2" t="str">
        <f>IF(ABS(E14-H14)&lt;0.01,"PASS","FAIL")</f>
        <v>PASS</v>
      </c>
      <c r="J14" s="2" t="str">
        <f>IF(ABS(E14-G14)&lt;0.01,"PASS","FAIL")</f>
        <v>PASS</v>
      </c>
    </row>
    <row r="15" spans="1:12" x14ac:dyDescent="0.25">
      <c r="A15" s="2" t="s">
        <v>82</v>
      </c>
      <c r="B15" s="13">
        <v>0</v>
      </c>
      <c r="D15" s="2" t="s">
        <v>83</v>
      </c>
      <c r="E15" s="11">
        <f>12*$B$5</f>
        <v>12000</v>
      </c>
      <c r="H15" s="10">
        <v>12000</v>
      </c>
      <c r="I15" s="2" t="str">
        <f>IF(ABS(E15-H15)&lt;0.01,"PASS","FAIL")</f>
        <v>PASS</v>
      </c>
    </row>
    <row r="16" spans="1:12" x14ac:dyDescent="0.25">
      <c r="A16" s="2" t="s">
        <v>84</v>
      </c>
      <c r="B16" s="13">
        <v>0</v>
      </c>
      <c r="D16" s="2" t="s">
        <v>85</v>
      </c>
      <c r="E16" s="11">
        <f>INDEX(C21:C50,$B$9)</f>
        <v>0</v>
      </c>
      <c r="H16" s="10">
        <v>0</v>
      </c>
      <c r="I16" s="2" t="str">
        <f>IF(ABS(E16-H16)&lt;0.01,"PASS","FAIL")</f>
        <v>PASS</v>
      </c>
    </row>
    <row r="17" spans="1:12" x14ac:dyDescent="0.25">
      <c r="A17" s="2" t="s">
        <v>86</v>
      </c>
      <c r="B17" s="13">
        <v>0</v>
      </c>
      <c r="G17" s="5" t="s">
        <v>87</v>
      </c>
    </row>
    <row r="19" spans="1:12" x14ac:dyDescent="0.25">
      <c r="A19" s="3" t="s">
        <v>88</v>
      </c>
    </row>
    <row r="20" spans="1:12" ht="30" customHeight="1" x14ac:dyDescent="0.25">
      <c r="A20" s="21" t="s">
        <v>89</v>
      </c>
      <c r="B20" s="21" t="s">
        <v>90</v>
      </c>
      <c r="C20" s="21" t="s">
        <v>91</v>
      </c>
      <c r="D20" s="21" t="s">
        <v>92</v>
      </c>
      <c r="E20" s="21" t="s">
        <v>93</v>
      </c>
      <c r="F20" s="21" t="s">
        <v>94</v>
      </c>
      <c r="G20" s="21" t="s">
        <v>95</v>
      </c>
      <c r="H20" s="21" t="s">
        <v>96</v>
      </c>
      <c r="I20" s="21" t="s">
        <v>97</v>
      </c>
      <c r="J20" s="21" t="s">
        <v>98</v>
      </c>
      <c r="K20" s="21" t="s">
        <v>99</v>
      </c>
      <c r="L20" s="21" t="s">
        <v>100</v>
      </c>
    </row>
    <row r="21" spans="1:12" x14ac:dyDescent="0.25">
      <c r="A21" s="14">
        <v>1</v>
      </c>
      <c r="B21" s="11">
        <f t="shared" ref="B21:B50" si="0">$B$4*(1+$B$16)^A21</f>
        <v>200000</v>
      </c>
      <c r="C21" s="11">
        <f t="shared" ref="C21:C50" si="1">IF(OR($E$4=0,A21&gt;=$B$8),0,IF($E$5=0,$E$4-12*A21*$E$7,$E$4*(1+$E$5)^(12*A21)-$E$7*((1+$E$5)^(12*A21)-1)/$E$5))</f>
        <v>0</v>
      </c>
      <c r="D21" s="11">
        <f t="shared" ref="D21:D50" si="2">IF(A21&lt;=$B$8,12*$E$7,0)+($B$10+$B$11+$B$12)*$B$4*(1+$B$16)^(A21-1)</f>
        <v>4000</v>
      </c>
      <c r="E21" s="11">
        <f t="shared" ref="E21:E50" si="3">D21/(1+$B$15)^A21</f>
        <v>4000</v>
      </c>
      <c r="F21" s="11">
        <f>SUM($E$21:E21)</f>
        <v>4000</v>
      </c>
      <c r="G21" s="11">
        <f t="shared" ref="G21:G50" si="4">12*$B$5*(1+$B$17)^(A21-1)</f>
        <v>12000</v>
      </c>
      <c r="H21" s="11">
        <f t="shared" ref="H21:H50" si="5">G21/(1+$B$15)^A21</f>
        <v>12000</v>
      </c>
      <c r="I21" s="11">
        <f>SUM($H$21:H21)</f>
        <v>12000</v>
      </c>
      <c r="J21" s="11">
        <f t="shared" ref="J21:J50" si="6">($B$6+$B$13)*$B$4+F21-(B21*(1-$B$14)-C21)/(1+$B$15)^A21</f>
        <v>22000</v>
      </c>
      <c r="K21" s="11">
        <f t="shared" ref="K21:K50" si="7">I21-J21</f>
        <v>-10000</v>
      </c>
      <c r="L21" s="14" t="str">
        <f t="shared" ref="L21:L50" si="8">IF(K21&gt;=0,A21,"")</f>
        <v/>
      </c>
    </row>
    <row r="22" spans="1:12" x14ac:dyDescent="0.25">
      <c r="A22" s="14">
        <v>2</v>
      </c>
      <c r="B22" s="11">
        <f t="shared" si="0"/>
        <v>200000</v>
      </c>
      <c r="C22" s="11">
        <f t="shared" si="1"/>
        <v>0</v>
      </c>
      <c r="D22" s="11">
        <f t="shared" si="2"/>
        <v>4000</v>
      </c>
      <c r="E22" s="11">
        <f t="shared" si="3"/>
        <v>4000</v>
      </c>
      <c r="F22" s="11">
        <f>SUM($E$21:E22)</f>
        <v>8000</v>
      </c>
      <c r="G22" s="11">
        <f t="shared" si="4"/>
        <v>12000</v>
      </c>
      <c r="H22" s="11">
        <f t="shared" si="5"/>
        <v>12000</v>
      </c>
      <c r="I22" s="11">
        <f>SUM($H$21:H22)</f>
        <v>24000</v>
      </c>
      <c r="J22" s="11">
        <f t="shared" si="6"/>
        <v>26000</v>
      </c>
      <c r="K22" s="11">
        <f t="shared" si="7"/>
        <v>-2000</v>
      </c>
      <c r="L22" s="14" t="str">
        <f t="shared" si="8"/>
        <v/>
      </c>
    </row>
    <row r="23" spans="1:12" x14ac:dyDescent="0.25">
      <c r="A23" s="14">
        <v>3</v>
      </c>
      <c r="B23" s="11">
        <f t="shared" si="0"/>
        <v>200000</v>
      </c>
      <c r="C23" s="11">
        <f t="shared" si="1"/>
        <v>0</v>
      </c>
      <c r="D23" s="11">
        <f t="shared" si="2"/>
        <v>4000</v>
      </c>
      <c r="E23" s="11">
        <f t="shared" si="3"/>
        <v>4000</v>
      </c>
      <c r="F23" s="11">
        <f>SUM($E$21:E23)</f>
        <v>12000</v>
      </c>
      <c r="G23" s="11">
        <f t="shared" si="4"/>
        <v>12000</v>
      </c>
      <c r="H23" s="11">
        <f t="shared" si="5"/>
        <v>12000</v>
      </c>
      <c r="I23" s="11">
        <f>SUM($H$21:H23)</f>
        <v>36000</v>
      </c>
      <c r="J23" s="11">
        <f t="shared" si="6"/>
        <v>30000</v>
      </c>
      <c r="K23" s="11">
        <f t="shared" si="7"/>
        <v>6000</v>
      </c>
      <c r="L23" s="14">
        <f t="shared" si="8"/>
        <v>3</v>
      </c>
    </row>
    <row r="24" spans="1:12" x14ac:dyDescent="0.25">
      <c r="A24" s="14">
        <v>4</v>
      </c>
      <c r="B24" s="11">
        <f t="shared" si="0"/>
        <v>200000</v>
      </c>
      <c r="C24" s="11">
        <f t="shared" si="1"/>
        <v>0</v>
      </c>
      <c r="D24" s="11">
        <f t="shared" si="2"/>
        <v>4000</v>
      </c>
      <c r="E24" s="11">
        <f t="shared" si="3"/>
        <v>4000</v>
      </c>
      <c r="F24" s="11">
        <f>SUM($E$21:E24)</f>
        <v>16000</v>
      </c>
      <c r="G24" s="11">
        <f t="shared" si="4"/>
        <v>12000</v>
      </c>
      <c r="H24" s="11">
        <f t="shared" si="5"/>
        <v>12000</v>
      </c>
      <c r="I24" s="11">
        <f>SUM($H$21:H24)</f>
        <v>48000</v>
      </c>
      <c r="J24" s="11">
        <f t="shared" si="6"/>
        <v>34000</v>
      </c>
      <c r="K24" s="11">
        <f t="shared" si="7"/>
        <v>14000</v>
      </c>
      <c r="L24" s="14">
        <f t="shared" si="8"/>
        <v>4</v>
      </c>
    </row>
    <row r="25" spans="1:12" x14ac:dyDescent="0.25">
      <c r="A25" s="14">
        <v>5</v>
      </c>
      <c r="B25" s="11">
        <f t="shared" si="0"/>
        <v>200000</v>
      </c>
      <c r="C25" s="11">
        <f t="shared" si="1"/>
        <v>0</v>
      </c>
      <c r="D25" s="11">
        <f t="shared" si="2"/>
        <v>4000</v>
      </c>
      <c r="E25" s="11">
        <f t="shared" si="3"/>
        <v>4000</v>
      </c>
      <c r="F25" s="11">
        <f>SUM($E$21:E25)</f>
        <v>20000</v>
      </c>
      <c r="G25" s="11">
        <f t="shared" si="4"/>
        <v>12000</v>
      </c>
      <c r="H25" s="11">
        <f t="shared" si="5"/>
        <v>12000</v>
      </c>
      <c r="I25" s="11">
        <f>SUM($H$21:H25)</f>
        <v>60000</v>
      </c>
      <c r="J25" s="11">
        <f t="shared" si="6"/>
        <v>38000</v>
      </c>
      <c r="K25" s="11">
        <f t="shared" si="7"/>
        <v>22000</v>
      </c>
      <c r="L25" s="14">
        <f t="shared" si="8"/>
        <v>5</v>
      </c>
    </row>
    <row r="26" spans="1:12" x14ac:dyDescent="0.25">
      <c r="A26" s="14">
        <v>6</v>
      </c>
      <c r="B26" s="11">
        <f t="shared" si="0"/>
        <v>200000</v>
      </c>
      <c r="C26" s="11">
        <f t="shared" si="1"/>
        <v>0</v>
      </c>
      <c r="D26" s="11">
        <f t="shared" si="2"/>
        <v>4000</v>
      </c>
      <c r="E26" s="11">
        <f t="shared" si="3"/>
        <v>4000</v>
      </c>
      <c r="F26" s="11">
        <f>SUM($E$21:E26)</f>
        <v>24000</v>
      </c>
      <c r="G26" s="11">
        <f t="shared" si="4"/>
        <v>12000</v>
      </c>
      <c r="H26" s="11">
        <f t="shared" si="5"/>
        <v>12000</v>
      </c>
      <c r="I26" s="11">
        <f>SUM($H$21:H26)</f>
        <v>72000</v>
      </c>
      <c r="J26" s="11">
        <f t="shared" si="6"/>
        <v>42000</v>
      </c>
      <c r="K26" s="11">
        <f t="shared" si="7"/>
        <v>30000</v>
      </c>
      <c r="L26" s="14">
        <f t="shared" si="8"/>
        <v>6</v>
      </c>
    </row>
    <row r="27" spans="1:12" x14ac:dyDescent="0.25">
      <c r="A27" s="14">
        <v>7</v>
      </c>
      <c r="B27" s="11">
        <f t="shared" si="0"/>
        <v>200000</v>
      </c>
      <c r="C27" s="11">
        <f t="shared" si="1"/>
        <v>0</v>
      </c>
      <c r="D27" s="11">
        <f t="shared" si="2"/>
        <v>4000</v>
      </c>
      <c r="E27" s="11">
        <f t="shared" si="3"/>
        <v>4000</v>
      </c>
      <c r="F27" s="11">
        <f>SUM($E$21:E27)</f>
        <v>28000</v>
      </c>
      <c r="G27" s="11">
        <f t="shared" si="4"/>
        <v>12000</v>
      </c>
      <c r="H27" s="11">
        <f t="shared" si="5"/>
        <v>12000</v>
      </c>
      <c r="I27" s="11">
        <f>SUM($H$21:H27)</f>
        <v>84000</v>
      </c>
      <c r="J27" s="11">
        <f t="shared" si="6"/>
        <v>46000</v>
      </c>
      <c r="K27" s="11">
        <f t="shared" si="7"/>
        <v>38000</v>
      </c>
      <c r="L27" s="14">
        <f t="shared" si="8"/>
        <v>7</v>
      </c>
    </row>
    <row r="28" spans="1:12" x14ac:dyDescent="0.25">
      <c r="A28" s="14">
        <v>8</v>
      </c>
      <c r="B28" s="11">
        <f t="shared" si="0"/>
        <v>200000</v>
      </c>
      <c r="C28" s="11">
        <f t="shared" si="1"/>
        <v>0</v>
      </c>
      <c r="D28" s="11">
        <f t="shared" si="2"/>
        <v>4000</v>
      </c>
      <c r="E28" s="11">
        <f t="shared" si="3"/>
        <v>4000</v>
      </c>
      <c r="F28" s="11">
        <f>SUM($E$21:E28)</f>
        <v>32000</v>
      </c>
      <c r="G28" s="11">
        <f t="shared" si="4"/>
        <v>12000</v>
      </c>
      <c r="H28" s="11">
        <f t="shared" si="5"/>
        <v>12000</v>
      </c>
      <c r="I28" s="11">
        <f>SUM($H$21:H28)</f>
        <v>96000</v>
      </c>
      <c r="J28" s="11">
        <f t="shared" si="6"/>
        <v>50000</v>
      </c>
      <c r="K28" s="11">
        <f t="shared" si="7"/>
        <v>46000</v>
      </c>
      <c r="L28" s="14">
        <f t="shared" si="8"/>
        <v>8</v>
      </c>
    </row>
    <row r="29" spans="1:12" x14ac:dyDescent="0.25">
      <c r="A29" s="14">
        <v>9</v>
      </c>
      <c r="B29" s="11">
        <f t="shared" si="0"/>
        <v>200000</v>
      </c>
      <c r="C29" s="11">
        <f t="shared" si="1"/>
        <v>0</v>
      </c>
      <c r="D29" s="11">
        <f t="shared" si="2"/>
        <v>4000</v>
      </c>
      <c r="E29" s="11">
        <f t="shared" si="3"/>
        <v>4000</v>
      </c>
      <c r="F29" s="11">
        <f>SUM($E$21:E29)</f>
        <v>36000</v>
      </c>
      <c r="G29" s="11">
        <f t="shared" si="4"/>
        <v>12000</v>
      </c>
      <c r="H29" s="11">
        <f t="shared" si="5"/>
        <v>12000</v>
      </c>
      <c r="I29" s="11">
        <f>SUM($H$21:H29)</f>
        <v>108000</v>
      </c>
      <c r="J29" s="11">
        <f t="shared" si="6"/>
        <v>54000</v>
      </c>
      <c r="K29" s="11">
        <f t="shared" si="7"/>
        <v>54000</v>
      </c>
      <c r="L29" s="14">
        <f t="shared" si="8"/>
        <v>9</v>
      </c>
    </row>
    <row r="30" spans="1:12" x14ac:dyDescent="0.25">
      <c r="A30" s="14">
        <v>10</v>
      </c>
      <c r="B30" s="11">
        <f t="shared" si="0"/>
        <v>200000</v>
      </c>
      <c r="C30" s="11">
        <f t="shared" si="1"/>
        <v>0</v>
      </c>
      <c r="D30" s="11">
        <f t="shared" si="2"/>
        <v>4000</v>
      </c>
      <c r="E30" s="11">
        <f t="shared" si="3"/>
        <v>4000</v>
      </c>
      <c r="F30" s="11">
        <f>SUM($E$21:E30)</f>
        <v>40000</v>
      </c>
      <c r="G30" s="11">
        <f t="shared" si="4"/>
        <v>12000</v>
      </c>
      <c r="H30" s="11">
        <f t="shared" si="5"/>
        <v>12000</v>
      </c>
      <c r="I30" s="11">
        <f>SUM($H$21:H30)</f>
        <v>120000</v>
      </c>
      <c r="J30" s="11">
        <f t="shared" si="6"/>
        <v>58000</v>
      </c>
      <c r="K30" s="11">
        <f t="shared" si="7"/>
        <v>62000</v>
      </c>
      <c r="L30" s="14">
        <f t="shared" si="8"/>
        <v>10</v>
      </c>
    </row>
    <row r="31" spans="1:12" x14ac:dyDescent="0.25">
      <c r="A31" s="14">
        <v>11</v>
      </c>
      <c r="B31" s="11">
        <f t="shared" si="0"/>
        <v>200000</v>
      </c>
      <c r="C31" s="11">
        <f t="shared" si="1"/>
        <v>0</v>
      </c>
      <c r="D31" s="11">
        <f t="shared" si="2"/>
        <v>4000</v>
      </c>
      <c r="E31" s="11">
        <f t="shared" si="3"/>
        <v>4000</v>
      </c>
      <c r="F31" s="11">
        <f>SUM($E$21:E31)</f>
        <v>44000</v>
      </c>
      <c r="G31" s="11">
        <f t="shared" si="4"/>
        <v>12000</v>
      </c>
      <c r="H31" s="11">
        <f t="shared" si="5"/>
        <v>12000</v>
      </c>
      <c r="I31" s="11">
        <f>SUM($H$21:H31)</f>
        <v>132000</v>
      </c>
      <c r="J31" s="11">
        <f t="shared" si="6"/>
        <v>62000</v>
      </c>
      <c r="K31" s="11">
        <f t="shared" si="7"/>
        <v>70000</v>
      </c>
      <c r="L31" s="14">
        <f t="shared" si="8"/>
        <v>11</v>
      </c>
    </row>
    <row r="32" spans="1:12" x14ac:dyDescent="0.25">
      <c r="A32" s="14">
        <v>12</v>
      </c>
      <c r="B32" s="11">
        <f t="shared" si="0"/>
        <v>200000</v>
      </c>
      <c r="C32" s="11">
        <f t="shared" si="1"/>
        <v>0</v>
      </c>
      <c r="D32" s="11">
        <f t="shared" si="2"/>
        <v>4000</v>
      </c>
      <c r="E32" s="11">
        <f t="shared" si="3"/>
        <v>4000</v>
      </c>
      <c r="F32" s="11">
        <f>SUM($E$21:E32)</f>
        <v>48000</v>
      </c>
      <c r="G32" s="11">
        <f t="shared" si="4"/>
        <v>12000</v>
      </c>
      <c r="H32" s="11">
        <f t="shared" si="5"/>
        <v>12000</v>
      </c>
      <c r="I32" s="11">
        <f>SUM($H$21:H32)</f>
        <v>144000</v>
      </c>
      <c r="J32" s="11">
        <f t="shared" si="6"/>
        <v>66000</v>
      </c>
      <c r="K32" s="11">
        <f t="shared" si="7"/>
        <v>78000</v>
      </c>
      <c r="L32" s="14">
        <f t="shared" si="8"/>
        <v>12</v>
      </c>
    </row>
    <row r="33" spans="1:12" x14ac:dyDescent="0.25">
      <c r="A33" s="14">
        <v>13</v>
      </c>
      <c r="B33" s="11">
        <f t="shared" si="0"/>
        <v>200000</v>
      </c>
      <c r="C33" s="11">
        <f t="shared" si="1"/>
        <v>0</v>
      </c>
      <c r="D33" s="11">
        <f t="shared" si="2"/>
        <v>4000</v>
      </c>
      <c r="E33" s="11">
        <f t="shared" si="3"/>
        <v>4000</v>
      </c>
      <c r="F33" s="11">
        <f>SUM($E$21:E33)</f>
        <v>52000</v>
      </c>
      <c r="G33" s="11">
        <f t="shared" si="4"/>
        <v>12000</v>
      </c>
      <c r="H33" s="11">
        <f t="shared" si="5"/>
        <v>12000</v>
      </c>
      <c r="I33" s="11">
        <f>SUM($H$21:H33)</f>
        <v>156000</v>
      </c>
      <c r="J33" s="11">
        <f t="shared" si="6"/>
        <v>70000</v>
      </c>
      <c r="K33" s="11">
        <f t="shared" si="7"/>
        <v>86000</v>
      </c>
      <c r="L33" s="14">
        <f t="shared" si="8"/>
        <v>13</v>
      </c>
    </row>
    <row r="34" spans="1:12" x14ac:dyDescent="0.25">
      <c r="A34" s="14">
        <v>14</v>
      </c>
      <c r="B34" s="11">
        <f t="shared" si="0"/>
        <v>200000</v>
      </c>
      <c r="C34" s="11">
        <f t="shared" si="1"/>
        <v>0</v>
      </c>
      <c r="D34" s="11">
        <f t="shared" si="2"/>
        <v>4000</v>
      </c>
      <c r="E34" s="11">
        <f t="shared" si="3"/>
        <v>4000</v>
      </c>
      <c r="F34" s="11">
        <f>SUM($E$21:E34)</f>
        <v>56000</v>
      </c>
      <c r="G34" s="11">
        <f t="shared" si="4"/>
        <v>12000</v>
      </c>
      <c r="H34" s="11">
        <f t="shared" si="5"/>
        <v>12000</v>
      </c>
      <c r="I34" s="11">
        <f>SUM($H$21:H34)</f>
        <v>168000</v>
      </c>
      <c r="J34" s="11">
        <f t="shared" si="6"/>
        <v>74000</v>
      </c>
      <c r="K34" s="11">
        <f t="shared" si="7"/>
        <v>94000</v>
      </c>
      <c r="L34" s="14">
        <f t="shared" si="8"/>
        <v>14</v>
      </c>
    </row>
    <row r="35" spans="1:12" x14ac:dyDescent="0.25">
      <c r="A35" s="14">
        <v>15</v>
      </c>
      <c r="B35" s="11">
        <f t="shared" si="0"/>
        <v>200000</v>
      </c>
      <c r="C35" s="11">
        <f t="shared" si="1"/>
        <v>0</v>
      </c>
      <c r="D35" s="11">
        <f t="shared" si="2"/>
        <v>4000</v>
      </c>
      <c r="E35" s="11">
        <f t="shared" si="3"/>
        <v>4000</v>
      </c>
      <c r="F35" s="11">
        <f>SUM($E$21:E35)</f>
        <v>60000</v>
      </c>
      <c r="G35" s="11">
        <f t="shared" si="4"/>
        <v>12000</v>
      </c>
      <c r="H35" s="11">
        <f t="shared" si="5"/>
        <v>12000</v>
      </c>
      <c r="I35" s="11">
        <f>SUM($H$21:H35)</f>
        <v>180000</v>
      </c>
      <c r="J35" s="11">
        <f t="shared" si="6"/>
        <v>78000</v>
      </c>
      <c r="K35" s="11">
        <f t="shared" si="7"/>
        <v>102000</v>
      </c>
      <c r="L35" s="14">
        <f t="shared" si="8"/>
        <v>15</v>
      </c>
    </row>
    <row r="36" spans="1:12" x14ac:dyDescent="0.25">
      <c r="A36" s="14">
        <v>16</v>
      </c>
      <c r="B36" s="11">
        <f t="shared" si="0"/>
        <v>200000</v>
      </c>
      <c r="C36" s="11">
        <f t="shared" si="1"/>
        <v>0</v>
      </c>
      <c r="D36" s="11">
        <f t="shared" si="2"/>
        <v>4000</v>
      </c>
      <c r="E36" s="11">
        <f t="shared" si="3"/>
        <v>4000</v>
      </c>
      <c r="F36" s="11">
        <f>SUM($E$21:E36)</f>
        <v>64000</v>
      </c>
      <c r="G36" s="11">
        <f t="shared" si="4"/>
        <v>12000</v>
      </c>
      <c r="H36" s="11">
        <f t="shared" si="5"/>
        <v>12000</v>
      </c>
      <c r="I36" s="11">
        <f>SUM($H$21:H36)</f>
        <v>192000</v>
      </c>
      <c r="J36" s="11">
        <f t="shared" si="6"/>
        <v>82000</v>
      </c>
      <c r="K36" s="11">
        <f t="shared" si="7"/>
        <v>110000</v>
      </c>
      <c r="L36" s="14">
        <f t="shared" si="8"/>
        <v>16</v>
      </c>
    </row>
    <row r="37" spans="1:12" x14ac:dyDescent="0.25">
      <c r="A37" s="14">
        <v>17</v>
      </c>
      <c r="B37" s="11">
        <f t="shared" si="0"/>
        <v>200000</v>
      </c>
      <c r="C37" s="11">
        <f t="shared" si="1"/>
        <v>0</v>
      </c>
      <c r="D37" s="11">
        <f t="shared" si="2"/>
        <v>4000</v>
      </c>
      <c r="E37" s="11">
        <f t="shared" si="3"/>
        <v>4000</v>
      </c>
      <c r="F37" s="11">
        <f>SUM($E$21:E37)</f>
        <v>68000</v>
      </c>
      <c r="G37" s="11">
        <f t="shared" si="4"/>
        <v>12000</v>
      </c>
      <c r="H37" s="11">
        <f t="shared" si="5"/>
        <v>12000</v>
      </c>
      <c r="I37" s="11">
        <f>SUM($H$21:H37)</f>
        <v>204000</v>
      </c>
      <c r="J37" s="11">
        <f t="shared" si="6"/>
        <v>86000</v>
      </c>
      <c r="K37" s="11">
        <f t="shared" si="7"/>
        <v>118000</v>
      </c>
      <c r="L37" s="14">
        <f t="shared" si="8"/>
        <v>17</v>
      </c>
    </row>
    <row r="38" spans="1:12" x14ac:dyDescent="0.25">
      <c r="A38" s="14">
        <v>18</v>
      </c>
      <c r="B38" s="11">
        <f t="shared" si="0"/>
        <v>200000</v>
      </c>
      <c r="C38" s="11">
        <f t="shared" si="1"/>
        <v>0</v>
      </c>
      <c r="D38" s="11">
        <f t="shared" si="2"/>
        <v>4000</v>
      </c>
      <c r="E38" s="11">
        <f t="shared" si="3"/>
        <v>4000</v>
      </c>
      <c r="F38" s="11">
        <f>SUM($E$21:E38)</f>
        <v>72000</v>
      </c>
      <c r="G38" s="11">
        <f t="shared" si="4"/>
        <v>12000</v>
      </c>
      <c r="H38" s="11">
        <f t="shared" si="5"/>
        <v>12000</v>
      </c>
      <c r="I38" s="11">
        <f>SUM($H$21:H38)</f>
        <v>216000</v>
      </c>
      <c r="J38" s="11">
        <f t="shared" si="6"/>
        <v>90000</v>
      </c>
      <c r="K38" s="11">
        <f t="shared" si="7"/>
        <v>126000</v>
      </c>
      <c r="L38" s="14">
        <f t="shared" si="8"/>
        <v>18</v>
      </c>
    </row>
    <row r="39" spans="1:12" x14ac:dyDescent="0.25">
      <c r="A39" s="14">
        <v>19</v>
      </c>
      <c r="B39" s="11">
        <f t="shared" si="0"/>
        <v>200000</v>
      </c>
      <c r="C39" s="11">
        <f t="shared" si="1"/>
        <v>0</v>
      </c>
      <c r="D39" s="11">
        <f t="shared" si="2"/>
        <v>4000</v>
      </c>
      <c r="E39" s="11">
        <f t="shared" si="3"/>
        <v>4000</v>
      </c>
      <c r="F39" s="11">
        <f>SUM($E$21:E39)</f>
        <v>76000</v>
      </c>
      <c r="G39" s="11">
        <f t="shared" si="4"/>
        <v>12000</v>
      </c>
      <c r="H39" s="11">
        <f t="shared" si="5"/>
        <v>12000</v>
      </c>
      <c r="I39" s="11">
        <f>SUM($H$21:H39)</f>
        <v>228000</v>
      </c>
      <c r="J39" s="11">
        <f t="shared" si="6"/>
        <v>94000</v>
      </c>
      <c r="K39" s="11">
        <f t="shared" si="7"/>
        <v>134000</v>
      </c>
      <c r="L39" s="14">
        <f t="shared" si="8"/>
        <v>19</v>
      </c>
    </row>
    <row r="40" spans="1:12" x14ac:dyDescent="0.25">
      <c r="A40" s="14">
        <v>20</v>
      </c>
      <c r="B40" s="11">
        <f t="shared" si="0"/>
        <v>200000</v>
      </c>
      <c r="C40" s="11">
        <f t="shared" si="1"/>
        <v>0</v>
      </c>
      <c r="D40" s="11">
        <f t="shared" si="2"/>
        <v>4000</v>
      </c>
      <c r="E40" s="11">
        <f t="shared" si="3"/>
        <v>4000</v>
      </c>
      <c r="F40" s="11">
        <f>SUM($E$21:E40)</f>
        <v>80000</v>
      </c>
      <c r="G40" s="11">
        <f t="shared" si="4"/>
        <v>12000</v>
      </c>
      <c r="H40" s="11">
        <f t="shared" si="5"/>
        <v>12000</v>
      </c>
      <c r="I40" s="11">
        <f>SUM($H$21:H40)</f>
        <v>240000</v>
      </c>
      <c r="J40" s="11">
        <f t="shared" si="6"/>
        <v>98000</v>
      </c>
      <c r="K40" s="11">
        <f t="shared" si="7"/>
        <v>142000</v>
      </c>
      <c r="L40" s="14">
        <f t="shared" si="8"/>
        <v>20</v>
      </c>
    </row>
    <row r="41" spans="1:12" x14ac:dyDescent="0.25">
      <c r="A41" s="14">
        <v>21</v>
      </c>
      <c r="B41" s="11">
        <f t="shared" si="0"/>
        <v>200000</v>
      </c>
      <c r="C41" s="11">
        <f t="shared" si="1"/>
        <v>0</v>
      </c>
      <c r="D41" s="11">
        <f t="shared" si="2"/>
        <v>4000</v>
      </c>
      <c r="E41" s="11">
        <f t="shared" si="3"/>
        <v>4000</v>
      </c>
      <c r="F41" s="11">
        <f>SUM($E$21:E41)</f>
        <v>84000</v>
      </c>
      <c r="G41" s="11">
        <f t="shared" si="4"/>
        <v>12000</v>
      </c>
      <c r="H41" s="11">
        <f t="shared" si="5"/>
        <v>12000</v>
      </c>
      <c r="I41" s="11">
        <f>SUM($H$21:H41)</f>
        <v>252000</v>
      </c>
      <c r="J41" s="11">
        <f t="shared" si="6"/>
        <v>102000</v>
      </c>
      <c r="K41" s="11">
        <f t="shared" si="7"/>
        <v>150000</v>
      </c>
      <c r="L41" s="14">
        <f t="shared" si="8"/>
        <v>21</v>
      </c>
    </row>
    <row r="42" spans="1:12" x14ac:dyDescent="0.25">
      <c r="A42" s="14">
        <v>22</v>
      </c>
      <c r="B42" s="11">
        <f t="shared" si="0"/>
        <v>200000</v>
      </c>
      <c r="C42" s="11">
        <f t="shared" si="1"/>
        <v>0</v>
      </c>
      <c r="D42" s="11">
        <f t="shared" si="2"/>
        <v>4000</v>
      </c>
      <c r="E42" s="11">
        <f t="shared" si="3"/>
        <v>4000</v>
      </c>
      <c r="F42" s="11">
        <f>SUM($E$21:E42)</f>
        <v>88000</v>
      </c>
      <c r="G42" s="11">
        <f t="shared" si="4"/>
        <v>12000</v>
      </c>
      <c r="H42" s="11">
        <f t="shared" si="5"/>
        <v>12000</v>
      </c>
      <c r="I42" s="11">
        <f>SUM($H$21:H42)</f>
        <v>264000</v>
      </c>
      <c r="J42" s="11">
        <f t="shared" si="6"/>
        <v>106000</v>
      </c>
      <c r="K42" s="11">
        <f t="shared" si="7"/>
        <v>158000</v>
      </c>
      <c r="L42" s="14">
        <f t="shared" si="8"/>
        <v>22</v>
      </c>
    </row>
    <row r="43" spans="1:12" x14ac:dyDescent="0.25">
      <c r="A43" s="14">
        <v>23</v>
      </c>
      <c r="B43" s="11">
        <f t="shared" si="0"/>
        <v>200000</v>
      </c>
      <c r="C43" s="11">
        <f t="shared" si="1"/>
        <v>0</v>
      </c>
      <c r="D43" s="11">
        <f t="shared" si="2"/>
        <v>4000</v>
      </c>
      <c r="E43" s="11">
        <f t="shared" si="3"/>
        <v>4000</v>
      </c>
      <c r="F43" s="11">
        <f>SUM($E$21:E43)</f>
        <v>92000</v>
      </c>
      <c r="G43" s="11">
        <f t="shared" si="4"/>
        <v>12000</v>
      </c>
      <c r="H43" s="11">
        <f t="shared" si="5"/>
        <v>12000</v>
      </c>
      <c r="I43" s="11">
        <f>SUM($H$21:H43)</f>
        <v>276000</v>
      </c>
      <c r="J43" s="11">
        <f t="shared" si="6"/>
        <v>110000</v>
      </c>
      <c r="K43" s="11">
        <f t="shared" si="7"/>
        <v>166000</v>
      </c>
      <c r="L43" s="14">
        <f t="shared" si="8"/>
        <v>23</v>
      </c>
    </row>
    <row r="44" spans="1:12" x14ac:dyDescent="0.25">
      <c r="A44" s="14">
        <v>24</v>
      </c>
      <c r="B44" s="11">
        <f t="shared" si="0"/>
        <v>200000</v>
      </c>
      <c r="C44" s="11">
        <f t="shared" si="1"/>
        <v>0</v>
      </c>
      <c r="D44" s="11">
        <f t="shared" si="2"/>
        <v>4000</v>
      </c>
      <c r="E44" s="11">
        <f t="shared" si="3"/>
        <v>4000</v>
      </c>
      <c r="F44" s="11">
        <f>SUM($E$21:E44)</f>
        <v>96000</v>
      </c>
      <c r="G44" s="11">
        <f t="shared" si="4"/>
        <v>12000</v>
      </c>
      <c r="H44" s="11">
        <f t="shared" si="5"/>
        <v>12000</v>
      </c>
      <c r="I44" s="11">
        <f>SUM($H$21:H44)</f>
        <v>288000</v>
      </c>
      <c r="J44" s="11">
        <f t="shared" si="6"/>
        <v>114000</v>
      </c>
      <c r="K44" s="11">
        <f t="shared" si="7"/>
        <v>174000</v>
      </c>
      <c r="L44" s="14">
        <f t="shared" si="8"/>
        <v>24</v>
      </c>
    </row>
    <row r="45" spans="1:12" x14ac:dyDescent="0.25">
      <c r="A45" s="14">
        <v>25</v>
      </c>
      <c r="B45" s="11">
        <f t="shared" si="0"/>
        <v>200000</v>
      </c>
      <c r="C45" s="11">
        <f t="shared" si="1"/>
        <v>0</v>
      </c>
      <c r="D45" s="11">
        <f t="shared" si="2"/>
        <v>4000</v>
      </c>
      <c r="E45" s="11">
        <f t="shared" si="3"/>
        <v>4000</v>
      </c>
      <c r="F45" s="11">
        <f>SUM($E$21:E45)</f>
        <v>100000</v>
      </c>
      <c r="G45" s="11">
        <f t="shared" si="4"/>
        <v>12000</v>
      </c>
      <c r="H45" s="11">
        <f t="shared" si="5"/>
        <v>12000</v>
      </c>
      <c r="I45" s="11">
        <f>SUM($H$21:H45)</f>
        <v>300000</v>
      </c>
      <c r="J45" s="11">
        <f t="shared" si="6"/>
        <v>118000</v>
      </c>
      <c r="K45" s="11">
        <f t="shared" si="7"/>
        <v>182000</v>
      </c>
      <c r="L45" s="14">
        <f t="shared" si="8"/>
        <v>25</v>
      </c>
    </row>
    <row r="46" spans="1:12" x14ac:dyDescent="0.25">
      <c r="A46" s="14">
        <v>26</v>
      </c>
      <c r="B46" s="11">
        <f t="shared" si="0"/>
        <v>200000</v>
      </c>
      <c r="C46" s="11">
        <f t="shared" si="1"/>
        <v>0</v>
      </c>
      <c r="D46" s="11">
        <f t="shared" si="2"/>
        <v>4000</v>
      </c>
      <c r="E46" s="11">
        <f t="shared" si="3"/>
        <v>4000</v>
      </c>
      <c r="F46" s="11">
        <f>SUM($E$21:E46)</f>
        <v>104000</v>
      </c>
      <c r="G46" s="11">
        <f t="shared" si="4"/>
        <v>12000</v>
      </c>
      <c r="H46" s="11">
        <f t="shared" si="5"/>
        <v>12000</v>
      </c>
      <c r="I46" s="11">
        <f>SUM($H$21:H46)</f>
        <v>312000</v>
      </c>
      <c r="J46" s="11">
        <f t="shared" si="6"/>
        <v>122000</v>
      </c>
      <c r="K46" s="11">
        <f t="shared" si="7"/>
        <v>190000</v>
      </c>
      <c r="L46" s="14">
        <f t="shared" si="8"/>
        <v>26</v>
      </c>
    </row>
    <row r="47" spans="1:12" x14ac:dyDescent="0.25">
      <c r="A47" s="14">
        <v>27</v>
      </c>
      <c r="B47" s="11">
        <f t="shared" si="0"/>
        <v>200000</v>
      </c>
      <c r="C47" s="11">
        <f t="shared" si="1"/>
        <v>0</v>
      </c>
      <c r="D47" s="11">
        <f t="shared" si="2"/>
        <v>4000</v>
      </c>
      <c r="E47" s="11">
        <f t="shared" si="3"/>
        <v>4000</v>
      </c>
      <c r="F47" s="11">
        <f>SUM($E$21:E47)</f>
        <v>108000</v>
      </c>
      <c r="G47" s="11">
        <f t="shared" si="4"/>
        <v>12000</v>
      </c>
      <c r="H47" s="11">
        <f t="shared" si="5"/>
        <v>12000</v>
      </c>
      <c r="I47" s="11">
        <f>SUM($H$21:H47)</f>
        <v>324000</v>
      </c>
      <c r="J47" s="11">
        <f t="shared" si="6"/>
        <v>126000</v>
      </c>
      <c r="K47" s="11">
        <f t="shared" si="7"/>
        <v>198000</v>
      </c>
      <c r="L47" s="14">
        <f t="shared" si="8"/>
        <v>27</v>
      </c>
    </row>
    <row r="48" spans="1:12" x14ac:dyDescent="0.25">
      <c r="A48" s="14">
        <v>28</v>
      </c>
      <c r="B48" s="11">
        <f t="shared" si="0"/>
        <v>200000</v>
      </c>
      <c r="C48" s="11">
        <f t="shared" si="1"/>
        <v>0</v>
      </c>
      <c r="D48" s="11">
        <f t="shared" si="2"/>
        <v>4000</v>
      </c>
      <c r="E48" s="11">
        <f t="shared" si="3"/>
        <v>4000</v>
      </c>
      <c r="F48" s="11">
        <f>SUM($E$21:E48)</f>
        <v>112000</v>
      </c>
      <c r="G48" s="11">
        <f t="shared" si="4"/>
        <v>12000</v>
      </c>
      <c r="H48" s="11">
        <f t="shared" si="5"/>
        <v>12000</v>
      </c>
      <c r="I48" s="11">
        <f>SUM($H$21:H48)</f>
        <v>336000</v>
      </c>
      <c r="J48" s="11">
        <f t="shared" si="6"/>
        <v>130000</v>
      </c>
      <c r="K48" s="11">
        <f t="shared" si="7"/>
        <v>206000</v>
      </c>
      <c r="L48" s="14">
        <f t="shared" si="8"/>
        <v>28</v>
      </c>
    </row>
    <row r="49" spans="1:12" x14ac:dyDescent="0.25">
      <c r="A49" s="14">
        <v>29</v>
      </c>
      <c r="B49" s="11">
        <f t="shared" si="0"/>
        <v>200000</v>
      </c>
      <c r="C49" s="11">
        <f t="shared" si="1"/>
        <v>0</v>
      </c>
      <c r="D49" s="11">
        <f t="shared" si="2"/>
        <v>4000</v>
      </c>
      <c r="E49" s="11">
        <f t="shared" si="3"/>
        <v>4000</v>
      </c>
      <c r="F49" s="11">
        <f>SUM($E$21:E49)</f>
        <v>116000</v>
      </c>
      <c r="G49" s="11">
        <f t="shared" si="4"/>
        <v>12000</v>
      </c>
      <c r="H49" s="11">
        <f t="shared" si="5"/>
        <v>12000</v>
      </c>
      <c r="I49" s="11">
        <f>SUM($H$21:H49)</f>
        <v>348000</v>
      </c>
      <c r="J49" s="11">
        <f t="shared" si="6"/>
        <v>134000</v>
      </c>
      <c r="K49" s="11">
        <f t="shared" si="7"/>
        <v>214000</v>
      </c>
      <c r="L49" s="14">
        <f t="shared" si="8"/>
        <v>29</v>
      </c>
    </row>
    <row r="50" spans="1:12" x14ac:dyDescent="0.25">
      <c r="A50" s="14">
        <v>30</v>
      </c>
      <c r="B50" s="11">
        <f t="shared" si="0"/>
        <v>200000</v>
      </c>
      <c r="C50" s="11">
        <f t="shared" si="1"/>
        <v>0</v>
      </c>
      <c r="D50" s="11">
        <f t="shared" si="2"/>
        <v>4000</v>
      </c>
      <c r="E50" s="11">
        <f t="shared" si="3"/>
        <v>4000</v>
      </c>
      <c r="F50" s="11">
        <f>SUM($E$21:E50)</f>
        <v>120000</v>
      </c>
      <c r="G50" s="11">
        <f t="shared" si="4"/>
        <v>12000</v>
      </c>
      <c r="H50" s="11">
        <f t="shared" si="5"/>
        <v>12000</v>
      </c>
      <c r="I50" s="11">
        <f>SUM($H$21:H50)</f>
        <v>360000</v>
      </c>
      <c r="J50" s="11">
        <f t="shared" si="6"/>
        <v>138000</v>
      </c>
      <c r="K50" s="11">
        <f t="shared" si="7"/>
        <v>222000</v>
      </c>
      <c r="L50" s="14">
        <f t="shared" si="8"/>
        <v>30</v>
      </c>
    </row>
  </sheetData>
  <mergeCells count="1">
    <mergeCell ref="A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0"/>
  <sheetViews>
    <sheetView workbookViewId="0">
      <pane ySplit="20" topLeftCell="A21" activePane="bottomLeft" state="frozen"/>
      <selection pane="bottomLeft"/>
    </sheetView>
  </sheetViews>
  <sheetFormatPr defaultRowHeight="15" x14ac:dyDescent="0.25"/>
  <cols>
    <col min="1" max="1" width="27" customWidth="1"/>
    <col min="2" max="3" width="15" customWidth="1"/>
    <col min="4" max="4" width="30" customWidth="1"/>
    <col min="5" max="5" width="17" customWidth="1"/>
    <col min="6" max="6" width="15" customWidth="1"/>
    <col min="7" max="7" width="17" customWidth="1"/>
    <col min="8" max="10" width="15" customWidth="1"/>
    <col min="11" max="11" width="17" customWidth="1"/>
    <col min="12" max="12" width="11" customWidth="1"/>
  </cols>
  <sheetData>
    <row r="1" spans="1:12" ht="16.5" x14ac:dyDescent="0.25">
      <c r="A1" s="1" t="s">
        <v>103</v>
      </c>
    </row>
    <row r="2" spans="1:12" ht="48" customHeight="1" x14ac:dyDescent="0.25">
      <c r="A2" s="22" t="s">
        <v>104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t="s">
        <v>54</v>
      </c>
      <c r="D3" t="s">
        <v>55</v>
      </c>
    </row>
    <row r="4" spans="1:12" x14ac:dyDescent="0.25">
      <c r="A4" s="2" t="s">
        <v>56</v>
      </c>
      <c r="B4" s="10">
        <v>120000</v>
      </c>
      <c r="D4" s="2" t="s">
        <v>57</v>
      </c>
      <c r="E4" s="11">
        <f>(1-$B$6)*$B$4</f>
        <v>90000</v>
      </c>
    </row>
    <row r="5" spans="1:12" x14ac:dyDescent="0.25">
      <c r="A5" s="2" t="s">
        <v>58</v>
      </c>
      <c r="B5" s="10">
        <v>700</v>
      </c>
      <c r="D5" s="2" t="s">
        <v>59</v>
      </c>
      <c r="E5" s="12">
        <f>$B$7/12</f>
        <v>0</v>
      </c>
    </row>
    <row r="6" spans="1:12" x14ac:dyDescent="0.25">
      <c r="A6" s="2" t="s">
        <v>60</v>
      </c>
      <c r="B6" s="13">
        <v>0.25</v>
      </c>
      <c r="D6" s="2" t="s">
        <v>61</v>
      </c>
      <c r="E6" s="14">
        <f>12*$B$8</f>
        <v>180</v>
      </c>
    </row>
    <row r="7" spans="1:12" x14ac:dyDescent="0.25">
      <c r="A7" s="2" t="s">
        <v>62</v>
      </c>
      <c r="B7" s="15">
        <v>0</v>
      </c>
      <c r="D7" s="2" t="s">
        <v>63</v>
      </c>
      <c r="E7" s="11">
        <f>IF($E$4=0,0,IF($E$5=0,$E$4/$E$6,$E$4*$E$5*(1+$E$5)^$E$6/((1+$E$5)^$E$6-1)))</f>
        <v>500</v>
      </c>
      <c r="G7" s="10">
        <v>500</v>
      </c>
      <c r="H7" s="10">
        <v>500</v>
      </c>
      <c r="I7" s="2" t="str">
        <f>IF(ABS(E7-H7)&lt;0.01,"PASS","FAIL")</f>
        <v>PASS</v>
      </c>
      <c r="J7" s="2" t="str">
        <f>IF(ABS(E7-G7)&lt;0.01,"PASS","FAIL")</f>
        <v>PASS</v>
      </c>
    </row>
    <row r="8" spans="1:12" x14ac:dyDescent="0.25">
      <c r="A8" s="2" t="s">
        <v>64</v>
      </c>
      <c r="B8" s="16">
        <v>15</v>
      </c>
      <c r="G8" s="17" t="s">
        <v>65</v>
      </c>
      <c r="H8" s="17" t="s">
        <v>66</v>
      </c>
      <c r="I8" s="17" t="s">
        <v>67</v>
      </c>
      <c r="J8" s="17" t="s">
        <v>68</v>
      </c>
    </row>
    <row r="9" spans="1:12" x14ac:dyDescent="0.25">
      <c r="A9" s="2" t="s">
        <v>69</v>
      </c>
      <c r="B9" s="16">
        <v>5</v>
      </c>
      <c r="D9" s="2" t="s">
        <v>70</v>
      </c>
      <c r="E9" s="11">
        <f>INDEX(J21:J50,$B$9)</f>
        <v>0</v>
      </c>
      <c r="G9" s="10">
        <v>0</v>
      </c>
      <c r="H9" s="10">
        <v>0</v>
      </c>
      <c r="I9" s="2" t="str">
        <f>IF(ABS(E9-H9)&lt;0.01,"PASS","FAIL")</f>
        <v>PASS</v>
      </c>
      <c r="J9" s="2" t="str">
        <f>IF(ABS(E9-G9)&lt;0.01,"PASS","FAIL")</f>
        <v>PASS</v>
      </c>
    </row>
    <row r="10" spans="1:12" x14ac:dyDescent="0.25">
      <c r="A10" s="2" t="s">
        <v>71</v>
      </c>
      <c r="B10" s="13">
        <v>0</v>
      </c>
      <c r="D10" s="2" t="s">
        <v>72</v>
      </c>
      <c r="E10" s="11">
        <f>INDEX(I21:I50,$B$9)</f>
        <v>42000</v>
      </c>
      <c r="G10" s="10">
        <v>42000</v>
      </c>
      <c r="H10" s="10">
        <v>42000</v>
      </c>
      <c r="I10" s="2" t="str">
        <f>IF(ABS(E10-H10)&lt;0.01,"PASS","FAIL")</f>
        <v>PASS</v>
      </c>
      <c r="J10" s="2" t="str">
        <f>IF(ABS(E10-G10)&lt;0.01,"PASS","FAIL")</f>
        <v>PASS</v>
      </c>
    </row>
    <row r="11" spans="1:12" x14ac:dyDescent="0.25">
      <c r="A11" s="2" t="s">
        <v>73</v>
      </c>
      <c r="B11" s="13">
        <v>0</v>
      </c>
      <c r="D11" s="3" t="s">
        <v>74</v>
      </c>
      <c r="E11" s="18">
        <f>INDEX(K21:K50,$B$9)</f>
        <v>42000</v>
      </c>
      <c r="G11" s="10">
        <v>42000</v>
      </c>
      <c r="H11" s="10">
        <v>42000</v>
      </c>
      <c r="I11" s="2" t="str">
        <f>IF(ABS(E11-H11)&lt;0.01,"PASS","FAIL")</f>
        <v>PASS</v>
      </c>
      <c r="J11" s="2" t="str">
        <f>IF(ABS(E11-G11)&lt;0.01,"PASS","FAIL")</f>
        <v>PASS</v>
      </c>
    </row>
    <row r="12" spans="1:12" x14ac:dyDescent="0.25">
      <c r="A12" s="2" t="s">
        <v>75</v>
      </c>
      <c r="B12" s="13">
        <v>0</v>
      </c>
      <c r="D12" s="2" t="s">
        <v>76</v>
      </c>
      <c r="E12" s="19" t="str">
        <f>IF(E11&gt;=0,"buy","rent")</f>
        <v>buy</v>
      </c>
      <c r="G12" s="20" t="s">
        <v>77</v>
      </c>
      <c r="H12" s="20" t="s">
        <v>77</v>
      </c>
      <c r="I12" s="2" t="str">
        <f>IF(E12=H12,"PASS","FAIL")</f>
        <v>PASS</v>
      </c>
      <c r="J12" s="2" t="str">
        <f>IF(E12=G12,"PASS","FAIL")</f>
        <v>PASS</v>
      </c>
    </row>
    <row r="13" spans="1:12" x14ac:dyDescent="0.25">
      <c r="A13" s="2" t="s">
        <v>78</v>
      </c>
      <c r="B13" s="13">
        <v>0</v>
      </c>
      <c r="D13" s="2" t="s">
        <v>79</v>
      </c>
      <c r="E13" s="14">
        <f>IF(COUNT(L21:L50)=0,"never",MIN(L21:L50))</f>
        <v>1</v>
      </c>
      <c r="G13" s="16">
        <v>1</v>
      </c>
      <c r="H13" s="16">
        <v>1</v>
      </c>
      <c r="I13" s="2" t="str">
        <f>IF(ABS(E13-H13)&lt;0.01,"PASS","FAIL")</f>
        <v>PASS</v>
      </c>
      <c r="J13" s="2" t="str">
        <f>IF(ABS(E13-G13)&lt;0.01,"PASS","FAIL")</f>
        <v>PASS</v>
      </c>
    </row>
    <row r="14" spans="1:12" x14ac:dyDescent="0.25">
      <c r="A14" s="2" t="s">
        <v>80</v>
      </c>
      <c r="B14" s="13">
        <v>0</v>
      </c>
      <c r="D14" s="2" t="s">
        <v>81</v>
      </c>
      <c r="E14" s="11">
        <f>($B$15+$B$10+$B$11+$B$12-$B$16)*$B$4</f>
        <v>0</v>
      </c>
      <c r="G14" s="10">
        <v>0</v>
      </c>
      <c r="H14" s="10">
        <v>0</v>
      </c>
      <c r="I14" s="2" t="str">
        <f>IF(ABS(E14-H14)&lt;0.01,"PASS","FAIL")</f>
        <v>PASS</v>
      </c>
      <c r="J14" s="2" t="str">
        <f>IF(ABS(E14-G14)&lt;0.01,"PASS","FAIL")</f>
        <v>PASS</v>
      </c>
    </row>
    <row r="15" spans="1:12" x14ac:dyDescent="0.25">
      <c r="A15" s="2" t="s">
        <v>82</v>
      </c>
      <c r="B15" s="13">
        <v>0</v>
      </c>
      <c r="D15" s="2" t="s">
        <v>83</v>
      </c>
      <c r="E15" s="11">
        <f>12*$B$5</f>
        <v>8400</v>
      </c>
      <c r="H15" s="10">
        <v>8400</v>
      </c>
      <c r="I15" s="2" t="str">
        <f>IF(ABS(E15-H15)&lt;0.01,"PASS","FAIL")</f>
        <v>PASS</v>
      </c>
    </row>
    <row r="16" spans="1:12" x14ac:dyDescent="0.25">
      <c r="A16" s="2" t="s">
        <v>84</v>
      </c>
      <c r="B16" s="13">
        <v>0</v>
      </c>
      <c r="D16" s="2" t="s">
        <v>85</v>
      </c>
      <c r="E16" s="11">
        <f>INDEX(C21:C50,$B$9)</f>
        <v>60000</v>
      </c>
      <c r="G16" s="10">
        <v>60000</v>
      </c>
      <c r="H16" s="10">
        <v>60000</v>
      </c>
      <c r="I16" s="2" t="str">
        <f>IF(ABS(E16-H16)&lt;0.01,"PASS","FAIL")</f>
        <v>PASS</v>
      </c>
      <c r="J16" s="2" t="str">
        <f>IF(ABS(E16-G16)&lt;0.01,"PASS","FAIL")</f>
        <v>PASS</v>
      </c>
    </row>
    <row r="17" spans="1:12" x14ac:dyDescent="0.25">
      <c r="A17" s="2" t="s">
        <v>86</v>
      </c>
      <c r="B17" s="13">
        <v>0</v>
      </c>
      <c r="G17" s="5" t="s">
        <v>87</v>
      </c>
    </row>
    <row r="19" spans="1:12" x14ac:dyDescent="0.25">
      <c r="A19" s="3" t="s">
        <v>88</v>
      </c>
    </row>
    <row r="20" spans="1:12" ht="30" customHeight="1" x14ac:dyDescent="0.25">
      <c r="A20" s="21" t="s">
        <v>89</v>
      </c>
      <c r="B20" s="21" t="s">
        <v>90</v>
      </c>
      <c r="C20" s="21" t="s">
        <v>91</v>
      </c>
      <c r="D20" s="21" t="s">
        <v>92</v>
      </c>
      <c r="E20" s="21" t="s">
        <v>93</v>
      </c>
      <c r="F20" s="21" t="s">
        <v>94</v>
      </c>
      <c r="G20" s="21" t="s">
        <v>95</v>
      </c>
      <c r="H20" s="21" t="s">
        <v>96</v>
      </c>
      <c r="I20" s="21" t="s">
        <v>97</v>
      </c>
      <c r="J20" s="21" t="s">
        <v>98</v>
      </c>
      <c r="K20" s="21" t="s">
        <v>99</v>
      </c>
      <c r="L20" s="21" t="s">
        <v>100</v>
      </c>
    </row>
    <row r="21" spans="1:12" x14ac:dyDescent="0.25">
      <c r="A21" s="14">
        <v>1</v>
      </c>
      <c r="B21" s="11">
        <f t="shared" ref="B21:B50" si="0">$B$4*(1+$B$16)^A21</f>
        <v>120000</v>
      </c>
      <c r="C21" s="11">
        <f t="shared" ref="C21:C50" si="1">IF(OR($E$4=0,A21&gt;=$B$8),0,IF($E$5=0,$E$4-12*A21*$E$7,$E$4*(1+$E$5)^(12*A21)-$E$7*((1+$E$5)^(12*A21)-1)/$E$5))</f>
        <v>84000</v>
      </c>
      <c r="D21" s="11">
        <f t="shared" ref="D21:D50" si="2">IF(A21&lt;=$B$8,12*$E$7,0)+($B$10+$B$11+$B$12)*$B$4*(1+$B$16)^(A21-1)</f>
        <v>6000</v>
      </c>
      <c r="E21" s="11">
        <f t="shared" ref="E21:E50" si="3">D21/(1+$B$15)^A21</f>
        <v>6000</v>
      </c>
      <c r="F21" s="11">
        <f>SUM($E$21:E21)</f>
        <v>6000</v>
      </c>
      <c r="G21" s="11">
        <f t="shared" ref="G21:G50" si="4">12*$B$5*(1+$B$17)^(A21-1)</f>
        <v>8400</v>
      </c>
      <c r="H21" s="11">
        <f t="shared" ref="H21:H50" si="5">G21/(1+$B$15)^A21</f>
        <v>8400</v>
      </c>
      <c r="I21" s="11">
        <f>SUM($H$21:H21)</f>
        <v>8400</v>
      </c>
      <c r="J21" s="11">
        <f t="shared" ref="J21:J50" si="6">($B$6+$B$13)*$B$4+F21-(B21*(1-$B$14)-C21)/(1+$B$15)^A21</f>
        <v>0</v>
      </c>
      <c r="K21" s="11">
        <f t="shared" ref="K21:K50" si="7">I21-J21</f>
        <v>8400</v>
      </c>
      <c r="L21" s="14">
        <f t="shared" ref="L21:L50" si="8">IF(K21&gt;=0,A21,"")</f>
        <v>1</v>
      </c>
    </row>
    <row r="22" spans="1:12" x14ac:dyDescent="0.25">
      <c r="A22" s="14">
        <v>2</v>
      </c>
      <c r="B22" s="11">
        <f t="shared" si="0"/>
        <v>120000</v>
      </c>
      <c r="C22" s="11">
        <f t="shared" si="1"/>
        <v>78000</v>
      </c>
      <c r="D22" s="11">
        <f t="shared" si="2"/>
        <v>6000</v>
      </c>
      <c r="E22" s="11">
        <f t="shared" si="3"/>
        <v>6000</v>
      </c>
      <c r="F22" s="11">
        <f>SUM($E$21:E22)</f>
        <v>12000</v>
      </c>
      <c r="G22" s="11">
        <f t="shared" si="4"/>
        <v>8400</v>
      </c>
      <c r="H22" s="11">
        <f t="shared" si="5"/>
        <v>8400</v>
      </c>
      <c r="I22" s="11">
        <f>SUM($H$21:H22)</f>
        <v>16800</v>
      </c>
      <c r="J22" s="11">
        <f t="shared" si="6"/>
        <v>0</v>
      </c>
      <c r="K22" s="11">
        <f t="shared" si="7"/>
        <v>16800</v>
      </c>
      <c r="L22" s="14">
        <f t="shared" si="8"/>
        <v>2</v>
      </c>
    </row>
    <row r="23" spans="1:12" x14ac:dyDescent="0.25">
      <c r="A23" s="14">
        <v>3</v>
      </c>
      <c r="B23" s="11">
        <f t="shared" si="0"/>
        <v>120000</v>
      </c>
      <c r="C23" s="11">
        <f t="shared" si="1"/>
        <v>72000</v>
      </c>
      <c r="D23" s="11">
        <f t="shared" si="2"/>
        <v>6000</v>
      </c>
      <c r="E23" s="11">
        <f t="shared" si="3"/>
        <v>6000</v>
      </c>
      <c r="F23" s="11">
        <f>SUM($E$21:E23)</f>
        <v>18000</v>
      </c>
      <c r="G23" s="11">
        <f t="shared" si="4"/>
        <v>8400</v>
      </c>
      <c r="H23" s="11">
        <f t="shared" si="5"/>
        <v>8400</v>
      </c>
      <c r="I23" s="11">
        <f>SUM($H$21:H23)</f>
        <v>25200</v>
      </c>
      <c r="J23" s="11">
        <f t="shared" si="6"/>
        <v>0</v>
      </c>
      <c r="K23" s="11">
        <f t="shared" si="7"/>
        <v>25200</v>
      </c>
      <c r="L23" s="14">
        <f t="shared" si="8"/>
        <v>3</v>
      </c>
    </row>
    <row r="24" spans="1:12" x14ac:dyDescent="0.25">
      <c r="A24" s="14">
        <v>4</v>
      </c>
      <c r="B24" s="11">
        <f t="shared" si="0"/>
        <v>120000</v>
      </c>
      <c r="C24" s="11">
        <f t="shared" si="1"/>
        <v>66000</v>
      </c>
      <c r="D24" s="11">
        <f t="shared" si="2"/>
        <v>6000</v>
      </c>
      <c r="E24" s="11">
        <f t="shared" si="3"/>
        <v>6000</v>
      </c>
      <c r="F24" s="11">
        <f>SUM($E$21:E24)</f>
        <v>24000</v>
      </c>
      <c r="G24" s="11">
        <f t="shared" si="4"/>
        <v>8400</v>
      </c>
      <c r="H24" s="11">
        <f t="shared" si="5"/>
        <v>8400</v>
      </c>
      <c r="I24" s="11">
        <f>SUM($H$21:H24)</f>
        <v>33600</v>
      </c>
      <c r="J24" s="11">
        <f t="shared" si="6"/>
        <v>0</v>
      </c>
      <c r="K24" s="11">
        <f t="shared" si="7"/>
        <v>33600</v>
      </c>
      <c r="L24" s="14">
        <f t="shared" si="8"/>
        <v>4</v>
      </c>
    </row>
    <row r="25" spans="1:12" x14ac:dyDescent="0.25">
      <c r="A25" s="14">
        <v>5</v>
      </c>
      <c r="B25" s="11">
        <f t="shared" si="0"/>
        <v>120000</v>
      </c>
      <c r="C25" s="11">
        <f t="shared" si="1"/>
        <v>60000</v>
      </c>
      <c r="D25" s="11">
        <f t="shared" si="2"/>
        <v>6000</v>
      </c>
      <c r="E25" s="11">
        <f t="shared" si="3"/>
        <v>6000</v>
      </c>
      <c r="F25" s="11">
        <f>SUM($E$21:E25)</f>
        <v>30000</v>
      </c>
      <c r="G25" s="11">
        <f t="shared" si="4"/>
        <v>8400</v>
      </c>
      <c r="H25" s="11">
        <f t="shared" si="5"/>
        <v>8400</v>
      </c>
      <c r="I25" s="11">
        <f>SUM($H$21:H25)</f>
        <v>42000</v>
      </c>
      <c r="J25" s="11">
        <f t="shared" si="6"/>
        <v>0</v>
      </c>
      <c r="K25" s="11">
        <f t="shared" si="7"/>
        <v>42000</v>
      </c>
      <c r="L25" s="14">
        <f t="shared" si="8"/>
        <v>5</v>
      </c>
    </row>
    <row r="26" spans="1:12" x14ac:dyDescent="0.25">
      <c r="A26" s="14">
        <v>6</v>
      </c>
      <c r="B26" s="11">
        <f t="shared" si="0"/>
        <v>120000</v>
      </c>
      <c r="C26" s="11">
        <f t="shared" si="1"/>
        <v>54000</v>
      </c>
      <c r="D26" s="11">
        <f t="shared" si="2"/>
        <v>6000</v>
      </c>
      <c r="E26" s="11">
        <f t="shared" si="3"/>
        <v>6000</v>
      </c>
      <c r="F26" s="11">
        <f>SUM($E$21:E26)</f>
        <v>36000</v>
      </c>
      <c r="G26" s="11">
        <f t="shared" si="4"/>
        <v>8400</v>
      </c>
      <c r="H26" s="11">
        <f t="shared" si="5"/>
        <v>8400</v>
      </c>
      <c r="I26" s="11">
        <f>SUM($H$21:H26)</f>
        <v>50400</v>
      </c>
      <c r="J26" s="11">
        <f t="shared" si="6"/>
        <v>0</v>
      </c>
      <c r="K26" s="11">
        <f t="shared" si="7"/>
        <v>50400</v>
      </c>
      <c r="L26" s="14">
        <f t="shared" si="8"/>
        <v>6</v>
      </c>
    </row>
    <row r="27" spans="1:12" x14ac:dyDescent="0.25">
      <c r="A27" s="14">
        <v>7</v>
      </c>
      <c r="B27" s="11">
        <f t="shared" si="0"/>
        <v>120000</v>
      </c>
      <c r="C27" s="11">
        <f t="shared" si="1"/>
        <v>48000</v>
      </c>
      <c r="D27" s="11">
        <f t="shared" si="2"/>
        <v>6000</v>
      </c>
      <c r="E27" s="11">
        <f t="shared" si="3"/>
        <v>6000</v>
      </c>
      <c r="F27" s="11">
        <f>SUM($E$21:E27)</f>
        <v>42000</v>
      </c>
      <c r="G27" s="11">
        <f t="shared" si="4"/>
        <v>8400</v>
      </c>
      <c r="H27" s="11">
        <f t="shared" si="5"/>
        <v>8400</v>
      </c>
      <c r="I27" s="11">
        <f>SUM($H$21:H27)</f>
        <v>58800</v>
      </c>
      <c r="J27" s="11">
        <f t="shared" si="6"/>
        <v>0</v>
      </c>
      <c r="K27" s="11">
        <f t="shared" si="7"/>
        <v>58800</v>
      </c>
      <c r="L27" s="14">
        <f t="shared" si="8"/>
        <v>7</v>
      </c>
    </row>
    <row r="28" spans="1:12" x14ac:dyDescent="0.25">
      <c r="A28" s="14">
        <v>8</v>
      </c>
      <c r="B28" s="11">
        <f t="shared" si="0"/>
        <v>120000</v>
      </c>
      <c r="C28" s="11">
        <f t="shared" si="1"/>
        <v>42000</v>
      </c>
      <c r="D28" s="11">
        <f t="shared" si="2"/>
        <v>6000</v>
      </c>
      <c r="E28" s="11">
        <f t="shared" si="3"/>
        <v>6000</v>
      </c>
      <c r="F28" s="11">
        <f>SUM($E$21:E28)</f>
        <v>48000</v>
      </c>
      <c r="G28" s="11">
        <f t="shared" si="4"/>
        <v>8400</v>
      </c>
      <c r="H28" s="11">
        <f t="shared" si="5"/>
        <v>8400</v>
      </c>
      <c r="I28" s="11">
        <f>SUM($H$21:H28)</f>
        <v>67200</v>
      </c>
      <c r="J28" s="11">
        <f t="shared" si="6"/>
        <v>0</v>
      </c>
      <c r="K28" s="11">
        <f t="shared" si="7"/>
        <v>67200</v>
      </c>
      <c r="L28" s="14">
        <f t="shared" si="8"/>
        <v>8</v>
      </c>
    </row>
    <row r="29" spans="1:12" x14ac:dyDescent="0.25">
      <c r="A29" s="14">
        <v>9</v>
      </c>
      <c r="B29" s="11">
        <f t="shared" si="0"/>
        <v>120000</v>
      </c>
      <c r="C29" s="11">
        <f t="shared" si="1"/>
        <v>36000</v>
      </c>
      <c r="D29" s="11">
        <f t="shared" si="2"/>
        <v>6000</v>
      </c>
      <c r="E29" s="11">
        <f t="shared" si="3"/>
        <v>6000</v>
      </c>
      <c r="F29" s="11">
        <f>SUM($E$21:E29)</f>
        <v>54000</v>
      </c>
      <c r="G29" s="11">
        <f t="shared" si="4"/>
        <v>8400</v>
      </c>
      <c r="H29" s="11">
        <f t="shared" si="5"/>
        <v>8400</v>
      </c>
      <c r="I29" s="11">
        <f>SUM($H$21:H29)</f>
        <v>75600</v>
      </c>
      <c r="J29" s="11">
        <f t="shared" si="6"/>
        <v>0</v>
      </c>
      <c r="K29" s="11">
        <f t="shared" si="7"/>
        <v>75600</v>
      </c>
      <c r="L29" s="14">
        <f t="shared" si="8"/>
        <v>9</v>
      </c>
    </row>
    <row r="30" spans="1:12" x14ac:dyDescent="0.25">
      <c r="A30" s="14">
        <v>10</v>
      </c>
      <c r="B30" s="11">
        <f t="shared" si="0"/>
        <v>120000</v>
      </c>
      <c r="C30" s="11">
        <f t="shared" si="1"/>
        <v>30000</v>
      </c>
      <c r="D30" s="11">
        <f t="shared" si="2"/>
        <v>6000</v>
      </c>
      <c r="E30" s="11">
        <f t="shared" si="3"/>
        <v>6000</v>
      </c>
      <c r="F30" s="11">
        <f>SUM($E$21:E30)</f>
        <v>60000</v>
      </c>
      <c r="G30" s="11">
        <f t="shared" si="4"/>
        <v>8400</v>
      </c>
      <c r="H30" s="11">
        <f t="shared" si="5"/>
        <v>8400</v>
      </c>
      <c r="I30" s="11">
        <f>SUM($H$21:H30)</f>
        <v>84000</v>
      </c>
      <c r="J30" s="11">
        <f t="shared" si="6"/>
        <v>0</v>
      </c>
      <c r="K30" s="11">
        <f t="shared" si="7"/>
        <v>84000</v>
      </c>
      <c r="L30" s="14">
        <f t="shared" si="8"/>
        <v>10</v>
      </c>
    </row>
    <row r="31" spans="1:12" x14ac:dyDescent="0.25">
      <c r="A31" s="14">
        <v>11</v>
      </c>
      <c r="B31" s="11">
        <f t="shared" si="0"/>
        <v>120000</v>
      </c>
      <c r="C31" s="11">
        <f t="shared" si="1"/>
        <v>24000</v>
      </c>
      <c r="D31" s="11">
        <f t="shared" si="2"/>
        <v>6000</v>
      </c>
      <c r="E31" s="11">
        <f t="shared" si="3"/>
        <v>6000</v>
      </c>
      <c r="F31" s="11">
        <f>SUM($E$21:E31)</f>
        <v>66000</v>
      </c>
      <c r="G31" s="11">
        <f t="shared" si="4"/>
        <v>8400</v>
      </c>
      <c r="H31" s="11">
        <f t="shared" si="5"/>
        <v>8400</v>
      </c>
      <c r="I31" s="11">
        <f>SUM($H$21:H31)</f>
        <v>92400</v>
      </c>
      <c r="J31" s="11">
        <f t="shared" si="6"/>
        <v>0</v>
      </c>
      <c r="K31" s="11">
        <f t="shared" si="7"/>
        <v>92400</v>
      </c>
      <c r="L31" s="14">
        <f t="shared" si="8"/>
        <v>11</v>
      </c>
    </row>
    <row r="32" spans="1:12" x14ac:dyDescent="0.25">
      <c r="A32" s="14">
        <v>12</v>
      </c>
      <c r="B32" s="11">
        <f t="shared" si="0"/>
        <v>120000</v>
      </c>
      <c r="C32" s="11">
        <f t="shared" si="1"/>
        <v>18000</v>
      </c>
      <c r="D32" s="11">
        <f t="shared" si="2"/>
        <v>6000</v>
      </c>
      <c r="E32" s="11">
        <f t="shared" si="3"/>
        <v>6000</v>
      </c>
      <c r="F32" s="11">
        <f>SUM($E$21:E32)</f>
        <v>72000</v>
      </c>
      <c r="G32" s="11">
        <f t="shared" si="4"/>
        <v>8400</v>
      </c>
      <c r="H32" s="11">
        <f t="shared" si="5"/>
        <v>8400</v>
      </c>
      <c r="I32" s="11">
        <f>SUM($H$21:H32)</f>
        <v>100800</v>
      </c>
      <c r="J32" s="11">
        <f t="shared" si="6"/>
        <v>0</v>
      </c>
      <c r="K32" s="11">
        <f t="shared" si="7"/>
        <v>100800</v>
      </c>
      <c r="L32" s="14">
        <f t="shared" si="8"/>
        <v>12</v>
      </c>
    </row>
    <row r="33" spans="1:12" x14ac:dyDescent="0.25">
      <c r="A33" s="14">
        <v>13</v>
      </c>
      <c r="B33" s="11">
        <f t="shared" si="0"/>
        <v>120000</v>
      </c>
      <c r="C33" s="11">
        <f t="shared" si="1"/>
        <v>12000</v>
      </c>
      <c r="D33" s="11">
        <f t="shared" si="2"/>
        <v>6000</v>
      </c>
      <c r="E33" s="11">
        <f t="shared" si="3"/>
        <v>6000</v>
      </c>
      <c r="F33" s="11">
        <f>SUM($E$21:E33)</f>
        <v>78000</v>
      </c>
      <c r="G33" s="11">
        <f t="shared" si="4"/>
        <v>8400</v>
      </c>
      <c r="H33" s="11">
        <f t="shared" si="5"/>
        <v>8400</v>
      </c>
      <c r="I33" s="11">
        <f>SUM($H$21:H33)</f>
        <v>109200</v>
      </c>
      <c r="J33" s="11">
        <f t="shared" si="6"/>
        <v>0</v>
      </c>
      <c r="K33" s="11">
        <f t="shared" si="7"/>
        <v>109200</v>
      </c>
      <c r="L33" s="14">
        <f t="shared" si="8"/>
        <v>13</v>
      </c>
    </row>
    <row r="34" spans="1:12" x14ac:dyDescent="0.25">
      <c r="A34" s="14">
        <v>14</v>
      </c>
      <c r="B34" s="11">
        <f t="shared" si="0"/>
        <v>120000</v>
      </c>
      <c r="C34" s="11">
        <f t="shared" si="1"/>
        <v>6000</v>
      </c>
      <c r="D34" s="11">
        <f t="shared" si="2"/>
        <v>6000</v>
      </c>
      <c r="E34" s="11">
        <f t="shared" si="3"/>
        <v>6000</v>
      </c>
      <c r="F34" s="11">
        <f>SUM($E$21:E34)</f>
        <v>84000</v>
      </c>
      <c r="G34" s="11">
        <f t="shared" si="4"/>
        <v>8400</v>
      </c>
      <c r="H34" s="11">
        <f t="shared" si="5"/>
        <v>8400</v>
      </c>
      <c r="I34" s="11">
        <f>SUM($H$21:H34)</f>
        <v>117600</v>
      </c>
      <c r="J34" s="11">
        <f t="shared" si="6"/>
        <v>0</v>
      </c>
      <c r="K34" s="11">
        <f t="shared" si="7"/>
        <v>117600</v>
      </c>
      <c r="L34" s="14">
        <f t="shared" si="8"/>
        <v>14</v>
      </c>
    </row>
    <row r="35" spans="1:12" x14ac:dyDescent="0.25">
      <c r="A35" s="14">
        <v>15</v>
      </c>
      <c r="B35" s="11">
        <f t="shared" si="0"/>
        <v>120000</v>
      </c>
      <c r="C35" s="11">
        <f t="shared" si="1"/>
        <v>0</v>
      </c>
      <c r="D35" s="11">
        <f t="shared" si="2"/>
        <v>6000</v>
      </c>
      <c r="E35" s="11">
        <f t="shared" si="3"/>
        <v>6000</v>
      </c>
      <c r="F35" s="11">
        <f>SUM($E$21:E35)</f>
        <v>90000</v>
      </c>
      <c r="G35" s="11">
        <f t="shared" si="4"/>
        <v>8400</v>
      </c>
      <c r="H35" s="11">
        <f t="shared" si="5"/>
        <v>8400</v>
      </c>
      <c r="I35" s="11">
        <f>SUM($H$21:H35)</f>
        <v>126000</v>
      </c>
      <c r="J35" s="11">
        <f t="shared" si="6"/>
        <v>0</v>
      </c>
      <c r="K35" s="11">
        <f t="shared" si="7"/>
        <v>126000</v>
      </c>
      <c r="L35" s="14">
        <f t="shared" si="8"/>
        <v>15</v>
      </c>
    </row>
    <row r="36" spans="1:12" x14ac:dyDescent="0.25">
      <c r="A36" s="14">
        <v>16</v>
      </c>
      <c r="B36" s="11">
        <f t="shared" si="0"/>
        <v>120000</v>
      </c>
      <c r="C36" s="11">
        <f t="shared" si="1"/>
        <v>0</v>
      </c>
      <c r="D36" s="11">
        <f t="shared" si="2"/>
        <v>0</v>
      </c>
      <c r="E36" s="11">
        <f t="shared" si="3"/>
        <v>0</v>
      </c>
      <c r="F36" s="11">
        <f>SUM($E$21:E36)</f>
        <v>90000</v>
      </c>
      <c r="G36" s="11">
        <f t="shared" si="4"/>
        <v>8400</v>
      </c>
      <c r="H36" s="11">
        <f t="shared" si="5"/>
        <v>8400</v>
      </c>
      <c r="I36" s="11">
        <f>SUM($H$21:H36)</f>
        <v>134400</v>
      </c>
      <c r="J36" s="11">
        <f t="shared" si="6"/>
        <v>0</v>
      </c>
      <c r="K36" s="11">
        <f t="shared" si="7"/>
        <v>134400</v>
      </c>
      <c r="L36" s="14">
        <f t="shared" si="8"/>
        <v>16</v>
      </c>
    </row>
    <row r="37" spans="1:12" x14ac:dyDescent="0.25">
      <c r="A37" s="14">
        <v>17</v>
      </c>
      <c r="B37" s="11">
        <f t="shared" si="0"/>
        <v>120000</v>
      </c>
      <c r="C37" s="11">
        <f t="shared" si="1"/>
        <v>0</v>
      </c>
      <c r="D37" s="11">
        <f t="shared" si="2"/>
        <v>0</v>
      </c>
      <c r="E37" s="11">
        <f t="shared" si="3"/>
        <v>0</v>
      </c>
      <c r="F37" s="11">
        <f>SUM($E$21:E37)</f>
        <v>90000</v>
      </c>
      <c r="G37" s="11">
        <f t="shared" si="4"/>
        <v>8400</v>
      </c>
      <c r="H37" s="11">
        <f t="shared" si="5"/>
        <v>8400</v>
      </c>
      <c r="I37" s="11">
        <f>SUM($H$21:H37)</f>
        <v>142800</v>
      </c>
      <c r="J37" s="11">
        <f t="shared" si="6"/>
        <v>0</v>
      </c>
      <c r="K37" s="11">
        <f t="shared" si="7"/>
        <v>142800</v>
      </c>
      <c r="L37" s="14">
        <f t="shared" si="8"/>
        <v>17</v>
      </c>
    </row>
    <row r="38" spans="1:12" x14ac:dyDescent="0.25">
      <c r="A38" s="14">
        <v>18</v>
      </c>
      <c r="B38" s="11">
        <f t="shared" si="0"/>
        <v>120000</v>
      </c>
      <c r="C38" s="11">
        <f t="shared" si="1"/>
        <v>0</v>
      </c>
      <c r="D38" s="11">
        <f t="shared" si="2"/>
        <v>0</v>
      </c>
      <c r="E38" s="11">
        <f t="shared" si="3"/>
        <v>0</v>
      </c>
      <c r="F38" s="11">
        <f>SUM($E$21:E38)</f>
        <v>90000</v>
      </c>
      <c r="G38" s="11">
        <f t="shared" si="4"/>
        <v>8400</v>
      </c>
      <c r="H38" s="11">
        <f t="shared" si="5"/>
        <v>8400</v>
      </c>
      <c r="I38" s="11">
        <f>SUM($H$21:H38)</f>
        <v>151200</v>
      </c>
      <c r="J38" s="11">
        <f t="shared" si="6"/>
        <v>0</v>
      </c>
      <c r="K38" s="11">
        <f t="shared" si="7"/>
        <v>151200</v>
      </c>
      <c r="L38" s="14">
        <f t="shared" si="8"/>
        <v>18</v>
      </c>
    </row>
    <row r="39" spans="1:12" x14ac:dyDescent="0.25">
      <c r="A39" s="14">
        <v>19</v>
      </c>
      <c r="B39" s="11">
        <f t="shared" si="0"/>
        <v>120000</v>
      </c>
      <c r="C39" s="11">
        <f t="shared" si="1"/>
        <v>0</v>
      </c>
      <c r="D39" s="11">
        <f t="shared" si="2"/>
        <v>0</v>
      </c>
      <c r="E39" s="11">
        <f t="shared" si="3"/>
        <v>0</v>
      </c>
      <c r="F39" s="11">
        <f>SUM($E$21:E39)</f>
        <v>90000</v>
      </c>
      <c r="G39" s="11">
        <f t="shared" si="4"/>
        <v>8400</v>
      </c>
      <c r="H39" s="11">
        <f t="shared" si="5"/>
        <v>8400</v>
      </c>
      <c r="I39" s="11">
        <f>SUM($H$21:H39)</f>
        <v>159600</v>
      </c>
      <c r="J39" s="11">
        <f t="shared" si="6"/>
        <v>0</v>
      </c>
      <c r="K39" s="11">
        <f t="shared" si="7"/>
        <v>159600</v>
      </c>
      <c r="L39" s="14">
        <f t="shared" si="8"/>
        <v>19</v>
      </c>
    </row>
    <row r="40" spans="1:12" x14ac:dyDescent="0.25">
      <c r="A40" s="14">
        <v>20</v>
      </c>
      <c r="B40" s="11">
        <f t="shared" si="0"/>
        <v>120000</v>
      </c>
      <c r="C40" s="11">
        <f t="shared" si="1"/>
        <v>0</v>
      </c>
      <c r="D40" s="11">
        <f t="shared" si="2"/>
        <v>0</v>
      </c>
      <c r="E40" s="11">
        <f t="shared" si="3"/>
        <v>0</v>
      </c>
      <c r="F40" s="11">
        <f>SUM($E$21:E40)</f>
        <v>90000</v>
      </c>
      <c r="G40" s="11">
        <f t="shared" si="4"/>
        <v>8400</v>
      </c>
      <c r="H40" s="11">
        <f t="shared" si="5"/>
        <v>8400</v>
      </c>
      <c r="I40" s="11">
        <f>SUM($H$21:H40)</f>
        <v>168000</v>
      </c>
      <c r="J40" s="11">
        <f t="shared" si="6"/>
        <v>0</v>
      </c>
      <c r="K40" s="11">
        <f t="shared" si="7"/>
        <v>168000</v>
      </c>
      <c r="L40" s="14">
        <f t="shared" si="8"/>
        <v>20</v>
      </c>
    </row>
    <row r="41" spans="1:12" x14ac:dyDescent="0.25">
      <c r="A41" s="14">
        <v>21</v>
      </c>
      <c r="B41" s="11">
        <f t="shared" si="0"/>
        <v>120000</v>
      </c>
      <c r="C41" s="11">
        <f t="shared" si="1"/>
        <v>0</v>
      </c>
      <c r="D41" s="11">
        <f t="shared" si="2"/>
        <v>0</v>
      </c>
      <c r="E41" s="11">
        <f t="shared" si="3"/>
        <v>0</v>
      </c>
      <c r="F41" s="11">
        <f>SUM($E$21:E41)</f>
        <v>90000</v>
      </c>
      <c r="G41" s="11">
        <f t="shared" si="4"/>
        <v>8400</v>
      </c>
      <c r="H41" s="11">
        <f t="shared" si="5"/>
        <v>8400</v>
      </c>
      <c r="I41" s="11">
        <f>SUM($H$21:H41)</f>
        <v>176400</v>
      </c>
      <c r="J41" s="11">
        <f t="shared" si="6"/>
        <v>0</v>
      </c>
      <c r="K41" s="11">
        <f t="shared" si="7"/>
        <v>176400</v>
      </c>
      <c r="L41" s="14">
        <f t="shared" si="8"/>
        <v>21</v>
      </c>
    </row>
    <row r="42" spans="1:12" x14ac:dyDescent="0.25">
      <c r="A42" s="14">
        <v>22</v>
      </c>
      <c r="B42" s="11">
        <f t="shared" si="0"/>
        <v>120000</v>
      </c>
      <c r="C42" s="11">
        <f t="shared" si="1"/>
        <v>0</v>
      </c>
      <c r="D42" s="11">
        <f t="shared" si="2"/>
        <v>0</v>
      </c>
      <c r="E42" s="11">
        <f t="shared" si="3"/>
        <v>0</v>
      </c>
      <c r="F42" s="11">
        <f>SUM($E$21:E42)</f>
        <v>90000</v>
      </c>
      <c r="G42" s="11">
        <f t="shared" si="4"/>
        <v>8400</v>
      </c>
      <c r="H42" s="11">
        <f t="shared" si="5"/>
        <v>8400</v>
      </c>
      <c r="I42" s="11">
        <f>SUM($H$21:H42)</f>
        <v>184800</v>
      </c>
      <c r="J42" s="11">
        <f t="shared" si="6"/>
        <v>0</v>
      </c>
      <c r="K42" s="11">
        <f t="shared" si="7"/>
        <v>184800</v>
      </c>
      <c r="L42" s="14">
        <f t="shared" si="8"/>
        <v>22</v>
      </c>
    </row>
    <row r="43" spans="1:12" x14ac:dyDescent="0.25">
      <c r="A43" s="14">
        <v>23</v>
      </c>
      <c r="B43" s="11">
        <f t="shared" si="0"/>
        <v>120000</v>
      </c>
      <c r="C43" s="11">
        <f t="shared" si="1"/>
        <v>0</v>
      </c>
      <c r="D43" s="11">
        <f t="shared" si="2"/>
        <v>0</v>
      </c>
      <c r="E43" s="11">
        <f t="shared" si="3"/>
        <v>0</v>
      </c>
      <c r="F43" s="11">
        <f>SUM($E$21:E43)</f>
        <v>90000</v>
      </c>
      <c r="G43" s="11">
        <f t="shared" si="4"/>
        <v>8400</v>
      </c>
      <c r="H43" s="11">
        <f t="shared" si="5"/>
        <v>8400</v>
      </c>
      <c r="I43" s="11">
        <f>SUM($H$21:H43)</f>
        <v>193200</v>
      </c>
      <c r="J43" s="11">
        <f t="shared" si="6"/>
        <v>0</v>
      </c>
      <c r="K43" s="11">
        <f t="shared" si="7"/>
        <v>193200</v>
      </c>
      <c r="L43" s="14">
        <f t="shared" si="8"/>
        <v>23</v>
      </c>
    </row>
    <row r="44" spans="1:12" x14ac:dyDescent="0.25">
      <c r="A44" s="14">
        <v>24</v>
      </c>
      <c r="B44" s="11">
        <f t="shared" si="0"/>
        <v>120000</v>
      </c>
      <c r="C44" s="11">
        <f t="shared" si="1"/>
        <v>0</v>
      </c>
      <c r="D44" s="11">
        <f t="shared" si="2"/>
        <v>0</v>
      </c>
      <c r="E44" s="11">
        <f t="shared" si="3"/>
        <v>0</v>
      </c>
      <c r="F44" s="11">
        <f>SUM($E$21:E44)</f>
        <v>90000</v>
      </c>
      <c r="G44" s="11">
        <f t="shared" si="4"/>
        <v>8400</v>
      </c>
      <c r="H44" s="11">
        <f t="shared" si="5"/>
        <v>8400</v>
      </c>
      <c r="I44" s="11">
        <f>SUM($H$21:H44)</f>
        <v>201600</v>
      </c>
      <c r="J44" s="11">
        <f t="shared" si="6"/>
        <v>0</v>
      </c>
      <c r="K44" s="11">
        <f t="shared" si="7"/>
        <v>201600</v>
      </c>
      <c r="L44" s="14">
        <f t="shared" si="8"/>
        <v>24</v>
      </c>
    </row>
    <row r="45" spans="1:12" x14ac:dyDescent="0.25">
      <c r="A45" s="14">
        <v>25</v>
      </c>
      <c r="B45" s="11">
        <f t="shared" si="0"/>
        <v>120000</v>
      </c>
      <c r="C45" s="11">
        <f t="shared" si="1"/>
        <v>0</v>
      </c>
      <c r="D45" s="11">
        <f t="shared" si="2"/>
        <v>0</v>
      </c>
      <c r="E45" s="11">
        <f t="shared" si="3"/>
        <v>0</v>
      </c>
      <c r="F45" s="11">
        <f>SUM($E$21:E45)</f>
        <v>90000</v>
      </c>
      <c r="G45" s="11">
        <f t="shared" si="4"/>
        <v>8400</v>
      </c>
      <c r="H45" s="11">
        <f t="shared" si="5"/>
        <v>8400</v>
      </c>
      <c r="I45" s="11">
        <f>SUM($H$21:H45)</f>
        <v>210000</v>
      </c>
      <c r="J45" s="11">
        <f t="shared" si="6"/>
        <v>0</v>
      </c>
      <c r="K45" s="11">
        <f t="shared" si="7"/>
        <v>210000</v>
      </c>
      <c r="L45" s="14">
        <f t="shared" si="8"/>
        <v>25</v>
      </c>
    </row>
    <row r="46" spans="1:12" x14ac:dyDescent="0.25">
      <c r="A46" s="14">
        <v>26</v>
      </c>
      <c r="B46" s="11">
        <f t="shared" si="0"/>
        <v>120000</v>
      </c>
      <c r="C46" s="11">
        <f t="shared" si="1"/>
        <v>0</v>
      </c>
      <c r="D46" s="11">
        <f t="shared" si="2"/>
        <v>0</v>
      </c>
      <c r="E46" s="11">
        <f t="shared" si="3"/>
        <v>0</v>
      </c>
      <c r="F46" s="11">
        <f>SUM($E$21:E46)</f>
        <v>90000</v>
      </c>
      <c r="G46" s="11">
        <f t="shared" si="4"/>
        <v>8400</v>
      </c>
      <c r="H46" s="11">
        <f t="shared" si="5"/>
        <v>8400</v>
      </c>
      <c r="I46" s="11">
        <f>SUM($H$21:H46)</f>
        <v>218400</v>
      </c>
      <c r="J46" s="11">
        <f t="shared" si="6"/>
        <v>0</v>
      </c>
      <c r="K46" s="11">
        <f t="shared" si="7"/>
        <v>218400</v>
      </c>
      <c r="L46" s="14">
        <f t="shared" si="8"/>
        <v>26</v>
      </c>
    </row>
    <row r="47" spans="1:12" x14ac:dyDescent="0.25">
      <c r="A47" s="14">
        <v>27</v>
      </c>
      <c r="B47" s="11">
        <f t="shared" si="0"/>
        <v>120000</v>
      </c>
      <c r="C47" s="11">
        <f t="shared" si="1"/>
        <v>0</v>
      </c>
      <c r="D47" s="11">
        <f t="shared" si="2"/>
        <v>0</v>
      </c>
      <c r="E47" s="11">
        <f t="shared" si="3"/>
        <v>0</v>
      </c>
      <c r="F47" s="11">
        <f>SUM($E$21:E47)</f>
        <v>90000</v>
      </c>
      <c r="G47" s="11">
        <f t="shared" si="4"/>
        <v>8400</v>
      </c>
      <c r="H47" s="11">
        <f t="shared" si="5"/>
        <v>8400</v>
      </c>
      <c r="I47" s="11">
        <f>SUM($H$21:H47)</f>
        <v>226800</v>
      </c>
      <c r="J47" s="11">
        <f t="shared" si="6"/>
        <v>0</v>
      </c>
      <c r="K47" s="11">
        <f t="shared" si="7"/>
        <v>226800</v>
      </c>
      <c r="L47" s="14">
        <f t="shared" si="8"/>
        <v>27</v>
      </c>
    </row>
    <row r="48" spans="1:12" x14ac:dyDescent="0.25">
      <c r="A48" s="14">
        <v>28</v>
      </c>
      <c r="B48" s="11">
        <f t="shared" si="0"/>
        <v>120000</v>
      </c>
      <c r="C48" s="11">
        <f t="shared" si="1"/>
        <v>0</v>
      </c>
      <c r="D48" s="11">
        <f t="shared" si="2"/>
        <v>0</v>
      </c>
      <c r="E48" s="11">
        <f t="shared" si="3"/>
        <v>0</v>
      </c>
      <c r="F48" s="11">
        <f>SUM($E$21:E48)</f>
        <v>90000</v>
      </c>
      <c r="G48" s="11">
        <f t="shared" si="4"/>
        <v>8400</v>
      </c>
      <c r="H48" s="11">
        <f t="shared" si="5"/>
        <v>8400</v>
      </c>
      <c r="I48" s="11">
        <f>SUM($H$21:H48)</f>
        <v>235200</v>
      </c>
      <c r="J48" s="11">
        <f t="shared" si="6"/>
        <v>0</v>
      </c>
      <c r="K48" s="11">
        <f t="shared" si="7"/>
        <v>235200</v>
      </c>
      <c r="L48" s="14">
        <f t="shared" si="8"/>
        <v>28</v>
      </c>
    </row>
    <row r="49" spans="1:12" x14ac:dyDescent="0.25">
      <c r="A49" s="14">
        <v>29</v>
      </c>
      <c r="B49" s="11">
        <f t="shared" si="0"/>
        <v>120000</v>
      </c>
      <c r="C49" s="11">
        <f t="shared" si="1"/>
        <v>0</v>
      </c>
      <c r="D49" s="11">
        <f t="shared" si="2"/>
        <v>0</v>
      </c>
      <c r="E49" s="11">
        <f t="shared" si="3"/>
        <v>0</v>
      </c>
      <c r="F49" s="11">
        <f>SUM($E$21:E49)</f>
        <v>90000</v>
      </c>
      <c r="G49" s="11">
        <f t="shared" si="4"/>
        <v>8400</v>
      </c>
      <c r="H49" s="11">
        <f t="shared" si="5"/>
        <v>8400</v>
      </c>
      <c r="I49" s="11">
        <f>SUM($H$21:H49)</f>
        <v>243600</v>
      </c>
      <c r="J49" s="11">
        <f t="shared" si="6"/>
        <v>0</v>
      </c>
      <c r="K49" s="11">
        <f t="shared" si="7"/>
        <v>243600</v>
      </c>
      <c r="L49" s="14">
        <f t="shared" si="8"/>
        <v>29</v>
      </c>
    </row>
    <row r="50" spans="1:12" x14ac:dyDescent="0.25">
      <c r="A50" s="14">
        <v>30</v>
      </c>
      <c r="B50" s="11">
        <f t="shared" si="0"/>
        <v>120000</v>
      </c>
      <c r="C50" s="11">
        <f t="shared" si="1"/>
        <v>0</v>
      </c>
      <c r="D50" s="11">
        <f t="shared" si="2"/>
        <v>0</v>
      </c>
      <c r="E50" s="11">
        <f t="shared" si="3"/>
        <v>0</v>
      </c>
      <c r="F50" s="11">
        <f>SUM($E$21:E50)</f>
        <v>90000</v>
      </c>
      <c r="G50" s="11">
        <f t="shared" si="4"/>
        <v>8400</v>
      </c>
      <c r="H50" s="11">
        <f t="shared" si="5"/>
        <v>8400</v>
      </c>
      <c r="I50" s="11">
        <f>SUM($H$21:H50)</f>
        <v>252000</v>
      </c>
      <c r="J50" s="11">
        <f t="shared" si="6"/>
        <v>0</v>
      </c>
      <c r="K50" s="11">
        <f t="shared" si="7"/>
        <v>252000</v>
      </c>
      <c r="L50" s="14">
        <f t="shared" si="8"/>
        <v>30</v>
      </c>
    </row>
  </sheetData>
  <mergeCells count="1"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0"/>
  <sheetViews>
    <sheetView workbookViewId="0">
      <pane ySplit="20" topLeftCell="A21" activePane="bottomLeft" state="frozen"/>
      <selection pane="bottomLeft"/>
    </sheetView>
  </sheetViews>
  <sheetFormatPr defaultRowHeight="15" x14ac:dyDescent="0.25"/>
  <cols>
    <col min="1" max="1" width="27" customWidth="1"/>
    <col min="2" max="3" width="15" customWidth="1"/>
    <col min="4" max="4" width="30" customWidth="1"/>
    <col min="5" max="5" width="17" customWidth="1"/>
    <col min="6" max="6" width="15" customWidth="1"/>
    <col min="7" max="7" width="17" customWidth="1"/>
    <col min="8" max="10" width="15" customWidth="1"/>
    <col min="11" max="11" width="17" customWidth="1"/>
    <col min="12" max="12" width="11" customWidth="1"/>
  </cols>
  <sheetData>
    <row r="1" spans="1:12" ht="16.5" x14ac:dyDescent="0.25">
      <c r="A1" s="1" t="s">
        <v>105</v>
      </c>
    </row>
    <row r="2" spans="1:12" ht="48" customHeight="1" x14ac:dyDescent="0.25">
      <c r="A2" s="22" t="s">
        <v>106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t="s">
        <v>54</v>
      </c>
      <c r="D3" t="s">
        <v>55</v>
      </c>
    </row>
    <row r="4" spans="1:12" x14ac:dyDescent="0.25">
      <c r="A4" s="2" t="s">
        <v>56</v>
      </c>
      <c r="B4" s="10">
        <v>120000</v>
      </c>
      <c r="D4" s="2" t="s">
        <v>57</v>
      </c>
      <c r="E4" s="11">
        <f>(1-$B$6)*$B$4</f>
        <v>90000</v>
      </c>
    </row>
    <row r="5" spans="1:12" x14ac:dyDescent="0.25">
      <c r="A5" s="2" t="s">
        <v>58</v>
      </c>
      <c r="B5" s="10">
        <v>700</v>
      </c>
      <c r="D5" s="2" t="s">
        <v>59</v>
      </c>
      <c r="E5" s="12">
        <f>$B$7/12</f>
        <v>0</v>
      </c>
    </row>
    <row r="6" spans="1:12" x14ac:dyDescent="0.25">
      <c r="A6" s="2" t="s">
        <v>60</v>
      </c>
      <c r="B6" s="13">
        <v>0.25</v>
      </c>
      <c r="D6" s="2" t="s">
        <v>61</v>
      </c>
      <c r="E6" s="14">
        <f>12*$B$8</f>
        <v>60</v>
      </c>
    </row>
    <row r="7" spans="1:12" x14ac:dyDescent="0.25">
      <c r="A7" s="2" t="s">
        <v>62</v>
      </c>
      <c r="B7" s="15">
        <v>0</v>
      </c>
      <c r="D7" s="2" t="s">
        <v>63</v>
      </c>
      <c r="E7" s="11">
        <f>IF($E$4=0,0,IF($E$5=0,$E$4/$E$6,$E$4*$E$5*(1+$E$5)^$E$6/((1+$E$5)^$E$6-1)))</f>
        <v>1500</v>
      </c>
      <c r="G7" s="10">
        <v>1500</v>
      </c>
      <c r="H7" s="10">
        <v>1500</v>
      </c>
      <c r="I7" s="2" t="str">
        <f>IF(ABS(E7-H7)&lt;0.01,"PASS","FAIL")</f>
        <v>PASS</v>
      </c>
      <c r="J7" s="2" t="str">
        <f>IF(ABS(E7-G7)&lt;0.01,"PASS","FAIL")</f>
        <v>PASS</v>
      </c>
    </row>
    <row r="8" spans="1:12" x14ac:dyDescent="0.25">
      <c r="A8" s="2" t="s">
        <v>64</v>
      </c>
      <c r="B8" s="16">
        <v>5</v>
      </c>
      <c r="G8" s="17" t="s">
        <v>65</v>
      </c>
      <c r="H8" s="17" t="s">
        <v>66</v>
      </c>
      <c r="I8" s="17" t="s">
        <v>67</v>
      </c>
      <c r="J8" s="17" t="s">
        <v>68</v>
      </c>
    </row>
    <row r="9" spans="1:12" x14ac:dyDescent="0.25">
      <c r="A9" s="2" t="s">
        <v>69</v>
      </c>
      <c r="B9" s="16">
        <v>7</v>
      </c>
      <c r="D9" s="2" t="s">
        <v>70</v>
      </c>
      <c r="E9" s="11">
        <f>INDEX(J21:J50,$B$9)</f>
        <v>0</v>
      </c>
      <c r="G9" s="10">
        <v>0</v>
      </c>
      <c r="H9" s="10">
        <v>0</v>
      </c>
      <c r="I9" s="2" t="str">
        <f>IF(ABS(E9-H9)&lt;0.01,"PASS","FAIL")</f>
        <v>PASS</v>
      </c>
      <c r="J9" s="2" t="str">
        <f>IF(ABS(E9-G9)&lt;0.01,"PASS","FAIL")</f>
        <v>PASS</v>
      </c>
    </row>
    <row r="10" spans="1:12" x14ac:dyDescent="0.25">
      <c r="A10" s="2" t="s">
        <v>71</v>
      </c>
      <c r="B10" s="13">
        <v>0</v>
      </c>
      <c r="D10" s="2" t="s">
        <v>72</v>
      </c>
      <c r="E10" s="11">
        <f>INDEX(I21:I50,$B$9)</f>
        <v>58800</v>
      </c>
      <c r="G10" s="10">
        <v>58800</v>
      </c>
      <c r="H10" s="10">
        <v>58800</v>
      </c>
      <c r="I10" s="2" t="str">
        <f>IF(ABS(E10-H10)&lt;0.01,"PASS","FAIL")</f>
        <v>PASS</v>
      </c>
      <c r="J10" s="2" t="str">
        <f>IF(ABS(E10-G10)&lt;0.01,"PASS","FAIL")</f>
        <v>PASS</v>
      </c>
    </row>
    <row r="11" spans="1:12" x14ac:dyDescent="0.25">
      <c r="A11" s="2" t="s">
        <v>73</v>
      </c>
      <c r="B11" s="13">
        <v>0</v>
      </c>
      <c r="D11" s="3" t="s">
        <v>74</v>
      </c>
      <c r="E11" s="18">
        <f>INDEX(K21:K50,$B$9)</f>
        <v>58800</v>
      </c>
      <c r="G11" s="10">
        <v>58800</v>
      </c>
      <c r="H11" s="10">
        <v>58800</v>
      </c>
      <c r="I11" s="2" t="str">
        <f>IF(ABS(E11-H11)&lt;0.01,"PASS","FAIL")</f>
        <v>PASS</v>
      </c>
      <c r="J11" s="2" t="str">
        <f>IF(ABS(E11-G11)&lt;0.01,"PASS","FAIL")</f>
        <v>PASS</v>
      </c>
    </row>
    <row r="12" spans="1:12" x14ac:dyDescent="0.25">
      <c r="A12" s="2" t="s">
        <v>75</v>
      </c>
      <c r="B12" s="13">
        <v>0</v>
      </c>
      <c r="D12" s="2" t="s">
        <v>76</v>
      </c>
      <c r="E12" s="19" t="str">
        <f>IF(E11&gt;=0,"buy","rent")</f>
        <v>buy</v>
      </c>
      <c r="G12" s="20" t="s">
        <v>77</v>
      </c>
      <c r="H12" s="20" t="s">
        <v>77</v>
      </c>
      <c r="I12" s="2" t="str">
        <f>IF(E12=H12,"PASS","FAIL")</f>
        <v>PASS</v>
      </c>
      <c r="J12" s="2" t="str">
        <f>IF(E12=G12,"PASS","FAIL")</f>
        <v>PASS</v>
      </c>
    </row>
    <row r="13" spans="1:12" x14ac:dyDescent="0.25">
      <c r="A13" s="2" t="s">
        <v>78</v>
      </c>
      <c r="B13" s="13">
        <v>0</v>
      </c>
      <c r="D13" s="2" t="s">
        <v>79</v>
      </c>
      <c r="E13" s="14">
        <f>IF(COUNT(L21:L50)=0,"never",MIN(L21:L50))</f>
        <v>1</v>
      </c>
      <c r="G13" s="16">
        <v>1</v>
      </c>
      <c r="H13" s="16">
        <v>1</v>
      </c>
      <c r="I13" s="2" t="str">
        <f>IF(ABS(E13-H13)&lt;0.01,"PASS","FAIL")</f>
        <v>PASS</v>
      </c>
      <c r="J13" s="2" t="str">
        <f>IF(ABS(E13-G13)&lt;0.01,"PASS","FAIL")</f>
        <v>PASS</v>
      </c>
    </row>
    <row r="14" spans="1:12" x14ac:dyDescent="0.25">
      <c r="A14" s="2" t="s">
        <v>80</v>
      </c>
      <c r="B14" s="13">
        <v>0</v>
      </c>
      <c r="D14" s="2" t="s">
        <v>81</v>
      </c>
      <c r="E14" s="11">
        <f>($B$15+$B$10+$B$11+$B$12-$B$16)*$B$4</f>
        <v>0</v>
      </c>
      <c r="G14" s="10">
        <v>0</v>
      </c>
      <c r="H14" s="10">
        <v>0</v>
      </c>
      <c r="I14" s="2" t="str">
        <f>IF(ABS(E14-H14)&lt;0.01,"PASS","FAIL")</f>
        <v>PASS</v>
      </c>
      <c r="J14" s="2" t="str">
        <f>IF(ABS(E14-G14)&lt;0.01,"PASS","FAIL")</f>
        <v>PASS</v>
      </c>
    </row>
    <row r="15" spans="1:12" x14ac:dyDescent="0.25">
      <c r="A15" s="2" t="s">
        <v>82</v>
      </c>
      <c r="B15" s="13">
        <v>0</v>
      </c>
      <c r="D15" s="2" t="s">
        <v>83</v>
      </c>
      <c r="E15" s="11">
        <f>12*$B$5</f>
        <v>8400</v>
      </c>
      <c r="H15" s="10">
        <v>8400</v>
      </c>
      <c r="I15" s="2" t="str">
        <f>IF(ABS(E15-H15)&lt;0.01,"PASS","FAIL")</f>
        <v>PASS</v>
      </c>
    </row>
    <row r="16" spans="1:12" x14ac:dyDescent="0.25">
      <c r="A16" s="2" t="s">
        <v>84</v>
      </c>
      <c r="B16" s="13">
        <v>0</v>
      </c>
      <c r="D16" s="2" t="s">
        <v>85</v>
      </c>
      <c r="E16" s="11">
        <f>INDEX(C21:C50,$B$9)</f>
        <v>0</v>
      </c>
      <c r="G16" s="10">
        <v>0</v>
      </c>
      <c r="H16" s="10">
        <v>0</v>
      </c>
      <c r="I16" s="2" t="str">
        <f>IF(ABS(E16-H16)&lt;0.01,"PASS","FAIL")</f>
        <v>PASS</v>
      </c>
      <c r="J16" s="2" t="str">
        <f>IF(ABS(E16-G16)&lt;0.01,"PASS","FAIL")</f>
        <v>PASS</v>
      </c>
    </row>
    <row r="17" spans="1:12" x14ac:dyDescent="0.25">
      <c r="A17" s="2" t="s">
        <v>86</v>
      </c>
      <c r="B17" s="13">
        <v>0</v>
      </c>
      <c r="G17" s="5" t="s">
        <v>87</v>
      </c>
    </row>
    <row r="19" spans="1:12" x14ac:dyDescent="0.25">
      <c r="A19" s="3" t="s">
        <v>88</v>
      </c>
    </row>
    <row r="20" spans="1:12" ht="30" customHeight="1" x14ac:dyDescent="0.25">
      <c r="A20" s="21" t="s">
        <v>89</v>
      </c>
      <c r="B20" s="21" t="s">
        <v>90</v>
      </c>
      <c r="C20" s="21" t="s">
        <v>91</v>
      </c>
      <c r="D20" s="21" t="s">
        <v>92</v>
      </c>
      <c r="E20" s="21" t="s">
        <v>93</v>
      </c>
      <c r="F20" s="21" t="s">
        <v>94</v>
      </c>
      <c r="G20" s="21" t="s">
        <v>95</v>
      </c>
      <c r="H20" s="21" t="s">
        <v>96</v>
      </c>
      <c r="I20" s="21" t="s">
        <v>97</v>
      </c>
      <c r="J20" s="21" t="s">
        <v>98</v>
      </c>
      <c r="K20" s="21" t="s">
        <v>99</v>
      </c>
      <c r="L20" s="21" t="s">
        <v>100</v>
      </c>
    </row>
    <row r="21" spans="1:12" x14ac:dyDescent="0.25">
      <c r="A21" s="14">
        <v>1</v>
      </c>
      <c r="B21" s="11">
        <f t="shared" ref="B21:B50" si="0">$B$4*(1+$B$16)^A21</f>
        <v>120000</v>
      </c>
      <c r="C21" s="11">
        <f t="shared" ref="C21:C50" si="1">IF(OR($E$4=0,A21&gt;=$B$8),0,IF($E$5=0,$E$4-12*A21*$E$7,$E$4*(1+$E$5)^(12*A21)-$E$7*((1+$E$5)^(12*A21)-1)/$E$5))</f>
        <v>72000</v>
      </c>
      <c r="D21" s="11">
        <f t="shared" ref="D21:D50" si="2">IF(A21&lt;=$B$8,12*$E$7,0)+($B$10+$B$11+$B$12)*$B$4*(1+$B$16)^(A21-1)</f>
        <v>18000</v>
      </c>
      <c r="E21" s="11">
        <f t="shared" ref="E21:E50" si="3">D21/(1+$B$15)^A21</f>
        <v>18000</v>
      </c>
      <c r="F21" s="11">
        <f>SUM($E$21:E21)</f>
        <v>18000</v>
      </c>
      <c r="G21" s="11">
        <f t="shared" ref="G21:G50" si="4">12*$B$5*(1+$B$17)^(A21-1)</f>
        <v>8400</v>
      </c>
      <c r="H21" s="11">
        <f t="shared" ref="H21:H50" si="5">G21/(1+$B$15)^A21</f>
        <v>8400</v>
      </c>
      <c r="I21" s="11">
        <f>SUM($H$21:H21)</f>
        <v>8400</v>
      </c>
      <c r="J21" s="11">
        <f t="shared" ref="J21:J50" si="6">($B$6+$B$13)*$B$4+F21-(B21*(1-$B$14)-C21)/(1+$B$15)^A21</f>
        <v>0</v>
      </c>
      <c r="K21" s="11">
        <f t="shared" ref="K21:K50" si="7">I21-J21</f>
        <v>8400</v>
      </c>
      <c r="L21" s="14">
        <f t="shared" ref="L21:L50" si="8">IF(K21&gt;=0,A21,"")</f>
        <v>1</v>
      </c>
    </row>
    <row r="22" spans="1:12" x14ac:dyDescent="0.25">
      <c r="A22" s="14">
        <v>2</v>
      </c>
      <c r="B22" s="11">
        <f t="shared" si="0"/>
        <v>120000</v>
      </c>
      <c r="C22" s="11">
        <f t="shared" si="1"/>
        <v>54000</v>
      </c>
      <c r="D22" s="11">
        <f t="shared" si="2"/>
        <v>18000</v>
      </c>
      <c r="E22" s="11">
        <f t="shared" si="3"/>
        <v>18000</v>
      </c>
      <c r="F22" s="11">
        <f>SUM($E$21:E22)</f>
        <v>36000</v>
      </c>
      <c r="G22" s="11">
        <f t="shared" si="4"/>
        <v>8400</v>
      </c>
      <c r="H22" s="11">
        <f t="shared" si="5"/>
        <v>8400</v>
      </c>
      <c r="I22" s="11">
        <f>SUM($H$21:H22)</f>
        <v>16800</v>
      </c>
      <c r="J22" s="11">
        <f t="shared" si="6"/>
        <v>0</v>
      </c>
      <c r="K22" s="11">
        <f t="shared" si="7"/>
        <v>16800</v>
      </c>
      <c r="L22" s="14">
        <f t="shared" si="8"/>
        <v>2</v>
      </c>
    </row>
    <row r="23" spans="1:12" x14ac:dyDescent="0.25">
      <c r="A23" s="14">
        <v>3</v>
      </c>
      <c r="B23" s="11">
        <f t="shared" si="0"/>
        <v>120000</v>
      </c>
      <c r="C23" s="11">
        <f t="shared" si="1"/>
        <v>36000</v>
      </c>
      <c r="D23" s="11">
        <f t="shared" si="2"/>
        <v>18000</v>
      </c>
      <c r="E23" s="11">
        <f t="shared" si="3"/>
        <v>18000</v>
      </c>
      <c r="F23" s="11">
        <f>SUM($E$21:E23)</f>
        <v>54000</v>
      </c>
      <c r="G23" s="11">
        <f t="shared" si="4"/>
        <v>8400</v>
      </c>
      <c r="H23" s="11">
        <f t="shared" si="5"/>
        <v>8400</v>
      </c>
      <c r="I23" s="11">
        <f>SUM($H$21:H23)</f>
        <v>25200</v>
      </c>
      <c r="J23" s="11">
        <f t="shared" si="6"/>
        <v>0</v>
      </c>
      <c r="K23" s="11">
        <f t="shared" si="7"/>
        <v>25200</v>
      </c>
      <c r="L23" s="14">
        <f t="shared" si="8"/>
        <v>3</v>
      </c>
    </row>
    <row r="24" spans="1:12" x14ac:dyDescent="0.25">
      <c r="A24" s="14">
        <v>4</v>
      </c>
      <c r="B24" s="11">
        <f t="shared" si="0"/>
        <v>120000</v>
      </c>
      <c r="C24" s="11">
        <f t="shared" si="1"/>
        <v>18000</v>
      </c>
      <c r="D24" s="11">
        <f t="shared" si="2"/>
        <v>18000</v>
      </c>
      <c r="E24" s="11">
        <f t="shared" si="3"/>
        <v>18000</v>
      </c>
      <c r="F24" s="11">
        <f>SUM($E$21:E24)</f>
        <v>72000</v>
      </c>
      <c r="G24" s="11">
        <f t="shared" si="4"/>
        <v>8400</v>
      </c>
      <c r="H24" s="11">
        <f t="shared" si="5"/>
        <v>8400</v>
      </c>
      <c r="I24" s="11">
        <f>SUM($H$21:H24)</f>
        <v>33600</v>
      </c>
      <c r="J24" s="11">
        <f t="shared" si="6"/>
        <v>0</v>
      </c>
      <c r="K24" s="11">
        <f t="shared" si="7"/>
        <v>33600</v>
      </c>
      <c r="L24" s="14">
        <f t="shared" si="8"/>
        <v>4</v>
      </c>
    </row>
    <row r="25" spans="1:12" x14ac:dyDescent="0.25">
      <c r="A25" s="14">
        <v>5</v>
      </c>
      <c r="B25" s="11">
        <f t="shared" si="0"/>
        <v>120000</v>
      </c>
      <c r="C25" s="11">
        <f t="shared" si="1"/>
        <v>0</v>
      </c>
      <c r="D25" s="11">
        <f t="shared" si="2"/>
        <v>18000</v>
      </c>
      <c r="E25" s="11">
        <f t="shared" si="3"/>
        <v>18000</v>
      </c>
      <c r="F25" s="11">
        <f>SUM($E$21:E25)</f>
        <v>90000</v>
      </c>
      <c r="G25" s="11">
        <f t="shared" si="4"/>
        <v>8400</v>
      </c>
      <c r="H25" s="11">
        <f t="shared" si="5"/>
        <v>8400</v>
      </c>
      <c r="I25" s="11">
        <f>SUM($H$21:H25)</f>
        <v>42000</v>
      </c>
      <c r="J25" s="11">
        <f t="shared" si="6"/>
        <v>0</v>
      </c>
      <c r="K25" s="11">
        <f t="shared" si="7"/>
        <v>42000</v>
      </c>
      <c r="L25" s="14">
        <f t="shared" si="8"/>
        <v>5</v>
      </c>
    </row>
    <row r="26" spans="1:12" x14ac:dyDescent="0.25">
      <c r="A26" s="14">
        <v>6</v>
      </c>
      <c r="B26" s="11">
        <f t="shared" si="0"/>
        <v>120000</v>
      </c>
      <c r="C26" s="11">
        <f t="shared" si="1"/>
        <v>0</v>
      </c>
      <c r="D26" s="11">
        <f t="shared" si="2"/>
        <v>0</v>
      </c>
      <c r="E26" s="11">
        <f t="shared" si="3"/>
        <v>0</v>
      </c>
      <c r="F26" s="11">
        <f>SUM($E$21:E26)</f>
        <v>90000</v>
      </c>
      <c r="G26" s="11">
        <f t="shared" si="4"/>
        <v>8400</v>
      </c>
      <c r="H26" s="11">
        <f t="shared" si="5"/>
        <v>8400</v>
      </c>
      <c r="I26" s="11">
        <f>SUM($H$21:H26)</f>
        <v>50400</v>
      </c>
      <c r="J26" s="11">
        <f t="shared" si="6"/>
        <v>0</v>
      </c>
      <c r="K26" s="11">
        <f t="shared" si="7"/>
        <v>50400</v>
      </c>
      <c r="L26" s="14">
        <f t="shared" si="8"/>
        <v>6</v>
      </c>
    </row>
    <row r="27" spans="1:12" x14ac:dyDescent="0.25">
      <c r="A27" s="14">
        <v>7</v>
      </c>
      <c r="B27" s="11">
        <f t="shared" si="0"/>
        <v>120000</v>
      </c>
      <c r="C27" s="11">
        <f t="shared" si="1"/>
        <v>0</v>
      </c>
      <c r="D27" s="11">
        <f t="shared" si="2"/>
        <v>0</v>
      </c>
      <c r="E27" s="11">
        <f t="shared" si="3"/>
        <v>0</v>
      </c>
      <c r="F27" s="11">
        <f>SUM($E$21:E27)</f>
        <v>90000</v>
      </c>
      <c r="G27" s="11">
        <f t="shared" si="4"/>
        <v>8400</v>
      </c>
      <c r="H27" s="11">
        <f t="shared" si="5"/>
        <v>8400</v>
      </c>
      <c r="I27" s="11">
        <f>SUM($H$21:H27)</f>
        <v>58800</v>
      </c>
      <c r="J27" s="11">
        <f t="shared" si="6"/>
        <v>0</v>
      </c>
      <c r="K27" s="11">
        <f t="shared" si="7"/>
        <v>58800</v>
      </c>
      <c r="L27" s="14">
        <f t="shared" si="8"/>
        <v>7</v>
      </c>
    </row>
    <row r="28" spans="1:12" x14ac:dyDescent="0.25">
      <c r="A28" s="14">
        <v>8</v>
      </c>
      <c r="B28" s="11">
        <f t="shared" si="0"/>
        <v>120000</v>
      </c>
      <c r="C28" s="11">
        <f t="shared" si="1"/>
        <v>0</v>
      </c>
      <c r="D28" s="11">
        <f t="shared" si="2"/>
        <v>0</v>
      </c>
      <c r="E28" s="11">
        <f t="shared" si="3"/>
        <v>0</v>
      </c>
      <c r="F28" s="11">
        <f>SUM($E$21:E28)</f>
        <v>90000</v>
      </c>
      <c r="G28" s="11">
        <f t="shared" si="4"/>
        <v>8400</v>
      </c>
      <c r="H28" s="11">
        <f t="shared" si="5"/>
        <v>8400</v>
      </c>
      <c r="I28" s="11">
        <f>SUM($H$21:H28)</f>
        <v>67200</v>
      </c>
      <c r="J28" s="11">
        <f t="shared" si="6"/>
        <v>0</v>
      </c>
      <c r="K28" s="11">
        <f t="shared" si="7"/>
        <v>67200</v>
      </c>
      <c r="L28" s="14">
        <f t="shared" si="8"/>
        <v>8</v>
      </c>
    </row>
    <row r="29" spans="1:12" x14ac:dyDescent="0.25">
      <c r="A29" s="14">
        <v>9</v>
      </c>
      <c r="B29" s="11">
        <f t="shared" si="0"/>
        <v>120000</v>
      </c>
      <c r="C29" s="11">
        <f t="shared" si="1"/>
        <v>0</v>
      </c>
      <c r="D29" s="11">
        <f t="shared" si="2"/>
        <v>0</v>
      </c>
      <c r="E29" s="11">
        <f t="shared" si="3"/>
        <v>0</v>
      </c>
      <c r="F29" s="11">
        <f>SUM($E$21:E29)</f>
        <v>90000</v>
      </c>
      <c r="G29" s="11">
        <f t="shared" si="4"/>
        <v>8400</v>
      </c>
      <c r="H29" s="11">
        <f t="shared" si="5"/>
        <v>8400</v>
      </c>
      <c r="I29" s="11">
        <f>SUM($H$21:H29)</f>
        <v>75600</v>
      </c>
      <c r="J29" s="11">
        <f t="shared" si="6"/>
        <v>0</v>
      </c>
      <c r="K29" s="11">
        <f t="shared" si="7"/>
        <v>75600</v>
      </c>
      <c r="L29" s="14">
        <f t="shared" si="8"/>
        <v>9</v>
      </c>
    </row>
    <row r="30" spans="1:12" x14ac:dyDescent="0.25">
      <c r="A30" s="14">
        <v>10</v>
      </c>
      <c r="B30" s="11">
        <f t="shared" si="0"/>
        <v>120000</v>
      </c>
      <c r="C30" s="11">
        <f t="shared" si="1"/>
        <v>0</v>
      </c>
      <c r="D30" s="11">
        <f t="shared" si="2"/>
        <v>0</v>
      </c>
      <c r="E30" s="11">
        <f t="shared" si="3"/>
        <v>0</v>
      </c>
      <c r="F30" s="11">
        <f>SUM($E$21:E30)</f>
        <v>90000</v>
      </c>
      <c r="G30" s="11">
        <f t="shared" si="4"/>
        <v>8400</v>
      </c>
      <c r="H30" s="11">
        <f t="shared" si="5"/>
        <v>8400</v>
      </c>
      <c r="I30" s="11">
        <f>SUM($H$21:H30)</f>
        <v>84000</v>
      </c>
      <c r="J30" s="11">
        <f t="shared" si="6"/>
        <v>0</v>
      </c>
      <c r="K30" s="11">
        <f t="shared" si="7"/>
        <v>84000</v>
      </c>
      <c r="L30" s="14">
        <f t="shared" si="8"/>
        <v>10</v>
      </c>
    </row>
    <row r="31" spans="1:12" x14ac:dyDescent="0.25">
      <c r="A31" s="14">
        <v>11</v>
      </c>
      <c r="B31" s="11">
        <f t="shared" si="0"/>
        <v>120000</v>
      </c>
      <c r="C31" s="11">
        <f t="shared" si="1"/>
        <v>0</v>
      </c>
      <c r="D31" s="11">
        <f t="shared" si="2"/>
        <v>0</v>
      </c>
      <c r="E31" s="11">
        <f t="shared" si="3"/>
        <v>0</v>
      </c>
      <c r="F31" s="11">
        <f>SUM($E$21:E31)</f>
        <v>90000</v>
      </c>
      <c r="G31" s="11">
        <f t="shared" si="4"/>
        <v>8400</v>
      </c>
      <c r="H31" s="11">
        <f t="shared" si="5"/>
        <v>8400</v>
      </c>
      <c r="I31" s="11">
        <f>SUM($H$21:H31)</f>
        <v>92400</v>
      </c>
      <c r="J31" s="11">
        <f t="shared" si="6"/>
        <v>0</v>
      </c>
      <c r="K31" s="11">
        <f t="shared" si="7"/>
        <v>92400</v>
      </c>
      <c r="L31" s="14">
        <f t="shared" si="8"/>
        <v>11</v>
      </c>
    </row>
    <row r="32" spans="1:12" x14ac:dyDescent="0.25">
      <c r="A32" s="14">
        <v>12</v>
      </c>
      <c r="B32" s="11">
        <f t="shared" si="0"/>
        <v>120000</v>
      </c>
      <c r="C32" s="11">
        <f t="shared" si="1"/>
        <v>0</v>
      </c>
      <c r="D32" s="11">
        <f t="shared" si="2"/>
        <v>0</v>
      </c>
      <c r="E32" s="11">
        <f t="shared" si="3"/>
        <v>0</v>
      </c>
      <c r="F32" s="11">
        <f>SUM($E$21:E32)</f>
        <v>90000</v>
      </c>
      <c r="G32" s="11">
        <f t="shared" si="4"/>
        <v>8400</v>
      </c>
      <c r="H32" s="11">
        <f t="shared" si="5"/>
        <v>8400</v>
      </c>
      <c r="I32" s="11">
        <f>SUM($H$21:H32)</f>
        <v>100800</v>
      </c>
      <c r="J32" s="11">
        <f t="shared" si="6"/>
        <v>0</v>
      </c>
      <c r="K32" s="11">
        <f t="shared" si="7"/>
        <v>100800</v>
      </c>
      <c r="L32" s="14">
        <f t="shared" si="8"/>
        <v>12</v>
      </c>
    </row>
    <row r="33" spans="1:12" x14ac:dyDescent="0.25">
      <c r="A33" s="14">
        <v>13</v>
      </c>
      <c r="B33" s="11">
        <f t="shared" si="0"/>
        <v>120000</v>
      </c>
      <c r="C33" s="11">
        <f t="shared" si="1"/>
        <v>0</v>
      </c>
      <c r="D33" s="11">
        <f t="shared" si="2"/>
        <v>0</v>
      </c>
      <c r="E33" s="11">
        <f t="shared" si="3"/>
        <v>0</v>
      </c>
      <c r="F33" s="11">
        <f>SUM($E$21:E33)</f>
        <v>90000</v>
      </c>
      <c r="G33" s="11">
        <f t="shared" si="4"/>
        <v>8400</v>
      </c>
      <c r="H33" s="11">
        <f t="shared" si="5"/>
        <v>8400</v>
      </c>
      <c r="I33" s="11">
        <f>SUM($H$21:H33)</f>
        <v>109200</v>
      </c>
      <c r="J33" s="11">
        <f t="shared" si="6"/>
        <v>0</v>
      </c>
      <c r="K33" s="11">
        <f t="shared" si="7"/>
        <v>109200</v>
      </c>
      <c r="L33" s="14">
        <f t="shared" si="8"/>
        <v>13</v>
      </c>
    </row>
    <row r="34" spans="1:12" x14ac:dyDescent="0.25">
      <c r="A34" s="14">
        <v>14</v>
      </c>
      <c r="B34" s="11">
        <f t="shared" si="0"/>
        <v>120000</v>
      </c>
      <c r="C34" s="11">
        <f t="shared" si="1"/>
        <v>0</v>
      </c>
      <c r="D34" s="11">
        <f t="shared" si="2"/>
        <v>0</v>
      </c>
      <c r="E34" s="11">
        <f t="shared" si="3"/>
        <v>0</v>
      </c>
      <c r="F34" s="11">
        <f>SUM($E$21:E34)</f>
        <v>90000</v>
      </c>
      <c r="G34" s="11">
        <f t="shared" si="4"/>
        <v>8400</v>
      </c>
      <c r="H34" s="11">
        <f t="shared" si="5"/>
        <v>8400</v>
      </c>
      <c r="I34" s="11">
        <f>SUM($H$21:H34)</f>
        <v>117600</v>
      </c>
      <c r="J34" s="11">
        <f t="shared" si="6"/>
        <v>0</v>
      </c>
      <c r="K34" s="11">
        <f t="shared" si="7"/>
        <v>117600</v>
      </c>
      <c r="L34" s="14">
        <f t="shared" si="8"/>
        <v>14</v>
      </c>
    </row>
    <row r="35" spans="1:12" x14ac:dyDescent="0.25">
      <c r="A35" s="14">
        <v>15</v>
      </c>
      <c r="B35" s="11">
        <f t="shared" si="0"/>
        <v>120000</v>
      </c>
      <c r="C35" s="11">
        <f t="shared" si="1"/>
        <v>0</v>
      </c>
      <c r="D35" s="11">
        <f t="shared" si="2"/>
        <v>0</v>
      </c>
      <c r="E35" s="11">
        <f t="shared" si="3"/>
        <v>0</v>
      </c>
      <c r="F35" s="11">
        <f>SUM($E$21:E35)</f>
        <v>90000</v>
      </c>
      <c r="G35" s="11">
        <f t="shared" si="4"/>
        <v>8400</v>
      </c>
      <c r="H35" s="11">
        <f t="shared" si="5"/>
        <v>8400</v>
      </c>
      <c r="I35" s="11">
        <f>SUM($H$21:H35)</f>
        <v>126000</v>
      </c>
      <c r="J35" s="11">
        <f t="shared" si="6"/>
        <v>0</v>
      </c>
      <c r="K35" s="11">
        <f t="shared" si="7"/>
        <v>126000</v>
      </c>
      <c r="L35" s="14">
        <f t="shared" si="8"/>
        <v>15</v>
      </c>
    </row>
    <row r="36" spans="1:12" x14ac:dyDescent="0.25">
      <c r="A36" s="14">
        <v>16</v>
      </c>
      <c r="B36" s="11">
        <f t="shared" si="0"/>
        <v>120000</v>
      </c>
      <c r="C36" s="11">
        <f t="shared" si="1"/>
        <v>0</v>
      </c>
      <c r="D36" s="11">
        <f t="shared" si="2"/>
        <v>0</v>
      </c>
      <c r="E36" s="11">
        <f t="shared" si="3"/>
        <v>0</v>
      </c>
      <c r="F36" s="11">
        <f>SUM($E$21:E36)</f>
        <v>90000</v>
      </c>
      <c r="G36" s="11">
        <f t="shared" si="4"/>
        <v>8400</v>
      </c>
      <c r="H36" s="11">
        <f t="shared" si="5"/>
        <v>8400</v>
      </c>
      <c r="I36" s="11">
        <f>SUM($H$21:H36)</f>
        <v>134400</v>
      </c>
      <c r="J36" s="11">
        <f t="shared" si="6"/>
        <v>0</v>
      </c>
      <c r="K36" s="11">
        <f t="shared" si="7"/>
        <v>134400</v>
      </c>
      <c r="L36" s="14">
        <f t="shared" si="8"/>
        <v>16</v>
      </c>
    </row>
    <row r="37" spans="1:12" x14ac:dyDescent="0.25">
      <c r="A37" s="14">
        <v>17</v>
      </c>
      <c r="B37" s="11">
        <f t="shared" si="0"/>
        <v>120000</v>
      </c>
      <c r="C37" s="11">
        <f t="shared" si="1"/>
        <v>0</v>
      </c>
      <c r="D37" s="11">
        <f t="shared" si="2"/>
        <v>0</v>
      </c>
      <c r="E37" s="11">
        <f t="shared" si="3"/>
        <v>0</v>
      </c>
      <c r="F37" s="11">
        <f>SUM($E$21:E37)</f>
        <v>90000</v>
      </c>
      <c r="G37" s="11">
        <f t="shared" si="4"/>
        <v>8400</v>
      </c>
      <c r="H37" s="11">
        <f t="shared" si="5"/>
        <v>8400</v>
      </c>
      <c r="I37" s="11">
        <f>SUM($H$21:H37)</f>
        <v>142800</v>
      </c>
      <c r="J37" s="11">
        <f t="shared" si="6"/>
        <v>0</v>
      </c>
      <c r="K37" s="11">
        <f t="shared" si="7"/>
        <v>142800</v>
      </c>
      <c r="L37" s="14">
        <f t="shared" si="8"/>
        <v>17</v>
      </c>
    </row>
    <row r="38" spans="1:12" x14ac:dyDescent="0.25">
      <c r="A38" s="14">
        <v>18</v>
      </c>
      <c r="B38" s="11">
        <f t="shared" si="0"/>
        <v>120000</v>
      </c>
      <c r="C38" s="11">
        <f t="shared" si="1"/>
        <v>0</v>
      </c>
      <c r="D38" s="11">
        <f t="shared" si="2"/>
        <v>0</v>
      </c>
      <c r="E38" s="11">
        <f t="shared" si="3"/>
        <v>0</v>
      </c>
      <c r="F38" s="11">
        <f>SUM($E$21:E38)</f>
        <v>90000</v>
      </c>
      <c r="G38" s="11">
        <f t="shared" si="4"/>
        <v>8400</v>
      </c>
      <c r="H38" s="11">
        <f t="shared" si="5"/>
        <v>8400</v>
      </c>
      <c r="I38" s="11">
        <f>SUM($H$21:H38)</f>
        <v>151200</v>
      </c>
      <c r="J38" s="11">
        <f t="shared" si="6"/>
        <v>0</v>
      </c>
      <c r="K38" s="11">
        <f t="shared" si="7"/>
        <v>151200</v>
      </c>
      <c r="L38" s="14">
        <f t="shared" si="8"/>
        <v>18</v>
      </c>
    </row>
    <row r="39" spans="1:12" x14ac:dyDescent="0.25">
      <c r="A39" s="14">
        <v>19</v>
      </c>
      <c r="B39" s="11">
        <f t="shared" si="0"/>
        <v>120000</v>
      </c>
      <c r="C39" s="11">
        <f t="shared" si="1"/>
        <v>0</v>
      </c>
      <c r="D39" s="11">
        <f t="shared" si="2"/>
        <v>0</v>
      </c>
      <c r="E39" s="11">
        <f t="shared" si="3"/>
        <v>0</v>
      </c>
      <c r="F39" s="11">
        <f>SUM($E$21:E39)</f>
        <v>90000</v>
      </c>
      <c r="G39" s="11">
        <f t="shared" si="4"/>
        <v>8400</v>
      </c>
      <c r="H39" s="11">
        <f t="shared" si="5"/>
        <v>8400</v>
      </c>
      <c r="I39" s="11">
        <f>SUM($H$21:H39)</f>
        <v>159600</v>
      </c>
      <c r="J39" s="11">
        <f t="shared" si="6"/>
        <v>0</v>
      </c>
      <c r="K39" s="11">
        <f t="shared" si="7"/>
        <v>159600</v>
      </c>
      <c r="L39" s="14">
        <f t="shared" si="8"/>
        <v>19</v>
      </c>
    </row>
    <row r="40" spans="1:12" x14ac:dyDescent="0.25">
      <c r="A40" s="14">
        <v>20</v>
      </c>
      <c r="B40" s="11">
        <f t="shared" si="0"/>
        <v>120000</v>
      </c>
      <c r="C40" s="11">
        <f t="shared" si="1"/>
        <v>0</v>
      </c>
      <c r="D40" s="11">
        <f t="shared" si="2"/>
        <v>0</v>
      </c>
      <c r="E40" s="11">
        <f t="shared" si="3"/>
        <v>0</v>
      </c>
      <c r="F40" s="11">
        <f>SUM($E$21:E40)</f>
        <v>90000</v>
      </c>
      <c r="G40" s="11">
        <f t="shared" si="4"/>
        <v>8400</v>
      </c>
      <c r="H40" s="11">
        <f t="shared" si="5"/>
        <v>8400</v>
      </c>
      <c r="I40" s="11">
        <f>SUM($H$21:H40)</f>
        <v>168000</v>
      </c>
      <c r="J40" s="11">
        <f t="shared" si="6"/>
        <v>0</v>
      </c>
      <c r="K40" s="11">
        <f t="shared" si="7"/>
        <v>168000</v>
      </c>
      <c r="L40" s="14">
        <f t="shared" si="8"/>
        <v>20</v>
      </c>
    </row>
    <row r="41" spans="1:12" x14ac:dyDescent="0.25">
      <c r="A41" s="14">
        <v>21</v>
      </c>
      <c r="B41" s="11">
        <f t="shared" si="0"/>
        <v>120000</v>
      </c>
      <c r="C41" s="11">
        <f t="shared" si="1"/>
        <v>0</v>
      </c>
      <c r="D41" s="11">
        <f t="shared" si="2"/>
        <v>0</v>
      </c>
      <c r="E41" s="11">
        <f t="shared" si="3"/>
        <v>0</v>
      </c>
      <c r="F41" s="11">
        <f>SUM($E$21:E41)</f>
        <v>90000</v>
      </c>
      <c r="G41" s="11">
        <f t="shared" si="4"/>
        <v>8400</v>
      </c>
      <c r="H41" s="11">
        <f t="shared" si="5"/>
        <v>8400</v>
      </c>
      <c r="I41" s="11">
        <f>SUM($H$21:H41)</f>
        <v>176400</v>
      </c>
      <c r="J41" s="11">
        <f t="shared" si="6"/>
        <v>0</v>
      </c>
      <c r="K41" s="11">
        <f t="shared" si="7"/>
        <v>176400</v>
      </c>
      <c r="L41" s="14">
        <f t="shared" si="8"/>
        <v>21</v>
      </c>
    </row>
    <row r="42" spans="1:12" x14ac:dyDescent="0.25">
      <c r="A42" s="14">
        <v>22</v>
      </c>
      <c r="B42" s="11">
        <f t="shared" si="0"/>
        <v>120000</v>
      </c>
      <c r="C42" s="11">
        <f t="shared" si="1"/>
        <v>0</v>
      </c>
      <c r="D42" s="11">
        <f t="shared" si="2"/>
        <v>0</v>
      </c>
      <c r="E42" s="11">
        <f t="shared" si="3"/>
        <v>0</v>
      </c>
      <c r="F42" s="11">
        <f>SUM($E$21:E42)</f>
        <v>90000</v>
      </c>
      <c r="G42" s="11">
        <f t="shared" si="4"/>
        <v>8400</v>
      </c>
      <c r="H42" s="11">
        <f t="shared" si="5"/>
        <v>8400</v>
      </c>
      <c r="I42" s="11">
        <f>SUM($H$21:H42)</f>
        <v>184800</v>
      </c>
      <c r="J42" s="11">
        <f t="shared" si="6"/>
        <v>0</v>
      </c>
      <c r="K42" s="11">
        <f t="shared" si="7"/>
        <v>184800</v>
      </c>
      <c r="L42" s="14">
        <f t="shared" si="8"/>
        <v>22</v>
      </c>
    </row>
    <row r="43" spans="1:12" x14ac:dyDescent="0.25">
      <c r="A43" s="14">
        <v>23</v>
      </c>
      <c r="B43" s="11">
        <f t="shared" si="0"/>
        <v>120000</v>
      </c>
      <c r="C43" s="11">
        <f t="shared" si="1"/>
        <v>0</v>
      </c>
      <c r="D43" s="11">
        <f t="shared" si="2"/>
        <v>0</v>
      </c>
      <c r="E43" s="11">
        <f t="shared" si="3"/>
        <v>0</v>
      </c>
      <c r="F43" s="11">
        <f>SUM($E$21:E43)</f>
        <v>90000</v>
      </c>
      <c r="G43" s="11">
        <f t="shared" si="4"/>
        <v>8400</v>
      </c>
      <c r="H43" s="11">
        <f t="shared" si="5"/>
        <v>8400</v>
      </c>
      <c r="I43" s="11">
        <f>SUM($H$21:H43)</f>
        <v>193200</v>
      </c>
      <c r="J43" s="11">
        <f t="shared" si="6"/>
        <v>0</v>
      </c>
      <c r="K43" s="11">
        <f t="shared" si="7"/>
        <v>193200</v>
      </c>
      <c r="L43" s="14">
        <f t="shared" si="8"/>
        <v>23</v>
      </c>
    </row>
    <row r="44" spans="1:12" x14ac:dyDescent="0.25">
      <c r="A44" s="14">
        <v>24</v>
      </c>
      <c r="B44" s="11">
        <f t="shared" si="0"/>
        <v>120000</v>
      </c>
      <c r="C44" s="11">
        <f t="shared" si="1"/>
        <v>0</v>
      </c>
      <c r="D44" s="11">
        <f t="shared" si="2"/>
        <v>0</v>
      </c>
      <c r="E44" s="11">
        <f t="shared" si="3"/>
        <v>0</v>
      </c>
      <c r="F44" s="11">
        <f>SUM($E$21:E44)</f>
        <v>90000</v>
      </c>
      <c r="G44" s="11">
        <f t="shared" si="4"/>
        <v>8400</v>
      </c>
      <c r="H44" s="11">
        <f t="shared" si="5"/>
        <v>8400</v>
      </c>
      <c r="I44" s="11">
        <f>SUM($H$21:H44)</f>
        <v>201600</v>
      </c>
      <c r="J44" s="11">
        <f t="shared" si="6"/>
        <v>0</v>
      </c>
      <c r="K44" s="11">
        <f t="shared" si="7"/>
        <v>201600</v>
      </c>
      <c r="L44" s="14">
        <f t="shared" si="8"/>
        <v>24</v>
      </c>
    </row>
    <row r="45" spans="1:12" x14ac:dyDescent="0.25">
      <c r="A45" s="14">
        <v>25</v>
      </c>
      <c r="B45" s="11">
        <f t="shared" si="0"/>
        <v>120000</v>
      </c>
      <c r="C45" s="11">
        <f t="shared" si="1"/>
        <v>0</v>
      </c>
      <c r="D45" s="11">
        <f t="shared" si="2"/>
        <v>0</v>
      </c>
      <c r="E45" s="11">
        <f t="shared" si="3"/>
        <v>0</v>
      </c>
      <c r="F45" s="11">
        <f>SUM($E$21:E45)</f>
        <v>90000</v>
      </c>
      <c r="G45" s="11">
        <f t="shared" si="4"/>
        <v>8400</v>
      </c>
      <c r="H45" s="11">
        <f t="shared" si="5"/>
        <v>8400</v>
      </c>
      <c r="I45" s="11">
        <f>SUM($H$21:H45)</f>
        <v>210000</v>
      </c>
      <c r="J45" s="11">
        <f t="shared" si="6"/>
        <v>0</v>
      </c>
      <c r="K45" s="11">
        <f t="shared" si="7"/>
        <v>210000</v>
      </c>
      <c r="L45" s="14">
        <f t="shared" si="8"/>
        <v>25</v>
      </c>
    </row>
    <row r="46" spans="1:12" x14ac:dyDescent="0.25">
      <c r="A46" s="14">
        <v>26</v>
      </c>
      <c r="B46" s="11">
        <f t="shared" si="0"/>
        <v>120000</v>
      </c>
      <c r="C46" s="11">
        <f t="shared" si="1"/>
        <v>0</v>
      </c>
      <c r="D46" s="11">
        <f t="shared" si="2"/>
        <v>0</v>
      </c>
      <c r="E46" s="11">
        <f t="shared" si="3"/>
        <v>0</v>
      </c>
      <c r="F46" s="11">
        <f>SUM($E$21:E46)</f>
        <v>90000</v>
      </c>
      <c r="G46" s="11">
        <f t="shared" si="4"/>
        <v>8400</v>
      </c>
      <c r="H46" s="11">
        <f t="shared" si="5"/>
        <v>8400</v>
      </c>
      <c r="I46" s="11">
        <f>SUM($H$21:H46)</f>
        <v>218400</v>
      </c>
      <c r="J46" s="11">
        <f t="shared" si="6"/>
        <v>0</v>
      </c>
      <c r="K46" s="11">
        <f t="shared" si="7"/>
        <v>218400</v>
      </c>
      <c r="L46" s="14">
        <f t="shared" si="8"/>
        <v>26</v>
      </c>
    </row>
    <row r="47" spans="1:12" x14ac:dyDescent="0.25">
      <c r="A47" s="14">
        <v>27</v>
      </c>
      <c r="B47" s="11">
        <f t="shared" si="0"/>
        <v>120000</v>
      </c>
      <c r="C47" s="11">
        <f t="shared" si="1"/>
        <v>0</v>
      </c>
      <c r="D47" s="11">
        <f t="shared" si="2"/>
        <v>0</v>
      </c>
      <c r="E47" s="11">
        <f t="shared" si="3"/>
        <v>0</v>
      </c>
      <c r="F47" s="11">
        <f>SUM($E$21:E47)</f>
        <v>90000</v>
      </c>
      <c r="G47" s="11">
        <f t="shared" si="4"/>
        <v>8400</v>
      </c>
      <c r="H47" s="11">
        <f t="shared" si="5"/>
        <v>8400</v>
      </c>
      <c r="I47" s="11">
        <f>SUM($H$21:H47)</f>
        <v>226800</v>
      </c>
      <c r="J47" s="11">
        <f t="shared" si="6"/>
        <v>0</v>
      </c>
      <c r="K47" s="11">
        <f t="shared" si="7"/>
        <v>226800</v>
      </c>
      <c r="L47" s="14">
        <f t="shared" si="8"/>
        <v>27</v>
      </c>
    </row>
    <row r="48" spans="1:12" x14ac:dyDescent="0.25">
      <c r="A48" s="14">
        <v>28</v>
      </c>
      <c r="B48" s="11">
        <f t="shared" si="0"/>
        <v>120000</v>
      </c>
      <c r="C48" s="11">
        <f t="shared" si="1"/>
        <v>0</v>
      </c>
      <c r="D48" s="11">
        <f t="shared" si="2"/>
        <v>0</v>
      </c>
      <c r="E48" s="11">
        <f t="shared" si="3"/>
        <v>0</v>
      </c>
      <c r="F48" s="11">
        <f>SUM($E$21:E48)</f>
        <v>90000</v>
      </c>
      <c r="G48" s="11">
        <f t="shared" si="4"/>
        <v>8400</v>
      </c>
      <c r="H48" s="11">
        <f t="shared" si="5"/>
        <v>8400</v>
      </c>
      <c r="I48" s="11">
        <f>SUM($H$21:H48)</f>
        <v>235200</v>
      </c>
      <c r="J48" s="11">
        <f t="shared" si="6"/>
        <v>0</v>
      </c>
      <c r="K48" s="11">
        <f t="shared" si="7"/>
        <v>235200</v>
      </c>
      <c r="L48" s="14">
        <f t="shared" si="8"/>
        <v>28</v>
      </c>
    </row>
    <row r="49" spans="1:12" x14ac:dyDescent="0.25">
      <c r="A49" s="14">
        <v>29</v>
      </c>
      <c r="B49" s="11">
        <f t="shared" si="0"/>
        <v>120000</v>
      </c>
      <c r="C49" s="11">
        <f t="shared" si="1"/>
        <v>0</v>
      </c>
      <c r="D49" s="11">
        <f t="shared" si="2"/>
        <v>0</v>
      </c>
      <c r="E49" s="11">
        <f t="shared" si="3"/>
        <v>0</v>
      </c>
      <c r="F49" s="11">
        <f>SUM($E$21:E49)</f>
        <v>90000</v>
      </c>
      <c r="G49" s="11">
        <f t="shared" si="4"/>
        <v>8400</v>
      </c>
      <c r="H49" s="11">
        <f t="shared" si="5"/>
        <v>8400</v>
      </c>
      <c r="I49" s="11">
        <f>SUM($H$21:H49)</f>
        <v>243600</v>
      </c>
      <c r="J49" s="11">
        <f t="shared" si="6"/>
        <v>0</v>
      </c>
      <c r="K49" s="11">
        <f t="shared" si="7"/>
        <v>243600</v>
      </c>
      <c r="L49" s="14">
        <f t="shared" si="8"/>
        <v>29</v>
      </c>
    </row>
    <row r="50" spans="1:12" x14ac:dyDescent="0.25">
      <c r="A50" s="14">
        <v>30</v>
      </c>
      <c r="B50" s="11">
        <f t="shared" si="0"/>
        <v>120000</v>
      </c>
      <c r="C50" s="11">
        <f t="shared" si="1"/>
        <v>0</v>
      </c>
      <c r="D50" s="11">
        <f t="shared" si="2"/>
        <v>0</v>
      </c>
      <c r="E50" s="11">
        <f t="shared" si="3"/>
        <v>0</v>
      </c>
      <c r="F50" s="11">
        <f>SUM($E$21:E50)</f>
        <v>90000</v>
      </c>
      <c r="G50" s="11">
        <f t="shared" si="4"/>
        <v>8400</v>
      </c>
      <c r="H50" s="11">
        <f t="shared" si="5"/>
        <v>8400</v>
      </c>
      <c r="I50" s="11">
        <f>SUM($H$21:H50)</f>
        <v>252000</v>
      </c>
      <c r="J50" s="11">
        <f t="shared" si="6"/>
        <v>0</v>
      </c>
      <c r="K50" s="11">
        <f t="shared" si="7"/>
        <v>252000</v>
      </c>
      <c r="L50" s="14">
        <f t="shared" si="8"/>
        <v>30</v>
      </c>
    </row>
  </sheetData>
  <mergeCells count="1">
    <mergeCell ref="A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"/>
  <sheetViews>
    <sheetView workbookViewId="0">
      <pane ySplit="20" topLeftCell="A21" activePane="bottomLeft" state="frozen"/>
      <selection pane="bottomLeft"/>
    </sheetView>
  </sheetViews>
  <sheetFormatPr defaultRowHeight="15" x14ac:dyDescent="0.25"/>
  <cols>
    <col min="1" max="1" width="27" customWidth="1"/>
    <col min="2" max="3" width="15" customWidth="1"/>
    <col min="4" max="4" width="30" customWidth="1"/>
    <col min="5" max="5" width="17" customWidth="1"/>
    <col min="6" max="6" width="15" customWidth="1"/>
    <col min="7" max="7" width="17" customWidth="1"/>
    <col min="8" max="10" width="15" customWidth="1"/>
    <col min="11" max="11" width="17" customWidth="1"/>
    <col min="12" max="12" width="11" customWidth="1"/>
  </cols>
  <sheetData>
    <row r="1" spans="1:12" ht="16.5" x14ac:dyDescent="0.25">
      <c r="A1" s="1" t="s">
        <v>107</v>
      </c>
    </row>
    <row r="2" spans="1:12" ht="48" customHeight="1" x14ac:dyDescent="0.25">
      <c r="A2" s="22" t="s">
        <v>108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t="s">
        <v>54</v>
      </c>
      <c r="D3" t="s">
        <v>55</v>
      </c>
    </row>
    <row r="4" spans="1:12" x14ac:dyDescent="0.25">
      <c r="A4" s="2" t="s">
        <v>56</v>
      </c>
      <c r="B4" s="10">
        <v>100000</v>
      </c>
      <c r="D4" s="2" t="s">
        <v>57</v>
      </c>
      <c r="E4" s="11">
        <f>(1-$B$6)*$B$4</f>
        <v>0</v>
      </c>
    </row>
    <row r="5" spans="1:12" x14ac:dyDescent="0.25">
      <c r="A5" s="2" t="s">
        <v>58</v>
      </c>
      <c r="B5" s="10">
        <v>1000</v>
      </c>
      <c r="D5" s="2" t="s">
        <v>59</v>
      </c>
      <c r="E5" s="12">
        <f>$B$7/12</f>
        <v>5.4166666666666669E-3</v>
      </c>
    </row>
    <row r="6" spans="1:12" x14ac:dyDescent="0.25">
      <c r="A6" s="2" t="s">
        <v>60</v>
      </c>
      <c r="B6" s="13">
        <v>1</v>
      </c>
      <c r="D6" s="2" t="s">
        <v>61</v>
      </c>
      <c r="E6" s="14">
        <f>12*$B$8</f>
        <v>360</v>
      </c>
    </row>
    <row r="7" spans="1:12" x14ac:dyDescent="0.25">
      <c r="A7" s="2" t="s">
        <v>62</v>
      </c>
      <c r="B7" s="15">
        <v>6.5000000000000002E-2</v>
      </c>
      <c r="D7" s="2" t="s">
        <v>63</v>
      </c>
      <c r="E7" s="11">
        <f>IF($E$4=0,0,IF($E$5=0,$E$4/$E$6,$E$4*$E$5*(1+$E$5)^$E$6/((1+$E$5)^$E$6-1)))</f>
        <v>0</v>
      </c>
      <c r="G7" s="10">
        <v>0</v>
      </c>
      <c r="H7" s="10">
        <v>0</v>
      </c>
      <c r="I7" s="2" t="str">
        <f>IF(ABS(E7-H7)&lt;0.01,"PASS","FAIL")</f>
        <v>PASS</v>
      </c>
      <c r="J7" s="2" t="str">
        <f>IF(ABS(E7-G7)&lt;0.01,"PASS","FAIL")</f>
        <v>PASS</v>
      </c>
    </row>
    <row r="8" spans="1:12" x14ac:dyDescent="0.25">
      <c r="A8" s="2" t="s">
        <v>64</v>
      </c>
      <c r="B8" s="16">
        <v>30</v>
      </c>
      <c r="G8" s="17" t="s">
        <v>65</v>
      </c>
      <c r="H8" s="17" t="s">
        <v>66</v>
      </c>
      <c r="I8" s="17" t="s">
        <v>67</v>
      </c>
      <c r="J8" s="17" t="s">
        <v>68</v>
      </c>
    </row>
    <row r="9" spans="1:12" x14ac:dyDescent="0.25">
      <c r="A9" s="2" t="s">
        <v>69</v>
      </c>
      <c r="B9" s="16">
        <v>2</v>
      </c>
      <c r="D9" s="2" t="s">
        <v>70</v>
      </c>
      <c r="E9" s="11">
        <f>INDEX(J21:J50,$B$9)</f>
        <v>0</v>
      </c>
      <c r="G9" s="10">
        <v>0</v>
      </c>
      <c r="H9" s="10">
        <v>0</v>
      </c>
      <c r="I9" s="2" t="str">
        <f>IF(ABS(E9-H9)&lt;0.01,"PASS","FAIL")</f>
        <v>PASS</v>
      </c>
      <c r="J9" s="2" t="str">
        <f>IF(ABS(E9-G9)&lt;0.01,"PASS","FAIL")</f>
        <v>PASS</v>
      </c>
    </row>
    <row r="10" spans="1:12" x14ac:dyDescent="0.25">
      <c r="A10" s="2" t="s">
        <v>71</v>
      </c>
      <c r="B10" s="13">
        <v>0</v>
      </c>
      <c r="D10" s="2" t="s">
        <v>72</v>
      </c>
      <c r="E10" s="11">
        <f>INDEX(I21:I50,$B$9)</f>
        <v>20826.446280991731</v>
      </c>
      <c r="G10" s="10">
        <v>20826.45</v>
      </c>
      <c r="H10" s="10">
        <v>20826.446280991731</v>
      </c>
      <c r="I10" s="2" t="str">
        <f>IF(ABS(E10-H10)&lt;0.01,"PASS","FAIL")</f>
        <v>PASS</v>
      </c>
      <c r="J10" s="2" t="str">
        <f>IF(ABS(E10-G10)&lt;0.01,"PASS","FAIL")</f>
        <v>PASS</v>
      </c>
    </row>
    <row r="11" spans="1:12" x14ac:dyDescent="0.25">
      <c r="A11" s="2" t="s">
        <v>73</v>
      </c>
      <c r="B11" s="13">
        <v>0</v>
      </c>
      <c r="D11" s="3" t="s">
        <v>74</v>
      </c>
      <c r="E11" s="18">
        <f>INDEX(K21:K50,$B$9)</f>
        <v>20826.446280991731</v>
      </c>
      <c r="G11" s="10">
        <v>20826.45</v>
      </c>
      <c r="H11" s="10">
        <v>20826.446280991731</v>
      </c>
      <c r="I11" s="2" t="str">
        <f>IF(ABS(E11-H11)&lt;0.01,"PASS","FAIL")</f>
        <v>PASS</v>
      </c>
      <c r="J11" s="2" t="str">
        <f>IF(ABS(E11-G11)&lt;0.01,"PASS","FAIL")</f>
        <v>PASS</v>
      </c>
    </row>
    <row r="12" spans="1:12" x14ac:dyDescent="0.25">
      <c r="A12" s="2" t="s">
        <v>75</v>
      </c>
      <c r="B12" s="13">
        <v>0</v>
      </c>
      <c r="D12" s="2" t="s">
        <v>76</v>
      </c>
      <c r="E12" s="19" t="str">
        <f>IF(E11&gt;=0,"buy","rent")</f>
        <v>buy</v>
      </c>
      <c r="G12" s="20" t="s">
        <v>77</v>
      </c>
      <c r="H12" s="20" t="s">
        <v>77</v>
      </c>
      <c r="I12" s="2" t="str">
        <f>IF(E12=H12,"PASS","FAIL")</f>
        <v>PASS</v>
      </c>
      <c r="J12" s="2" t="str">
        <f>IF(E12=G12,"PASS","FAIL")</f>
        <v>PASS</v>
      </c>
    </row>
    <row r="13" spans="1:12" x14ac:dyDescent="0.25">
      <c r="A13" s="2" t="s">
        <v>78</v>
      </c>
      <c r="B13" s="13">
        <v>0</v>
      </c>
      <c r="D13" s="2" t="s">
        <v>79</v>
      </c>
      <c r="E13" s="14">
        <f>IF(COUNT(L21:L50)=0,"never",MIN(L21:L50))</f>
        <v>1</v>
      </c>
      <c r="G13" s="16">
        <v>1</v>
      </c>
      <c r="H13" s="16">
        <v>1</v>
      </c>
      <c r="I13" s="2" t="str">
        <f>IF(ABS(E13-H13)&lt;0.01,"PASS","FAIL")</f>
        <v>PASS</v>
      </c>
      <c r="J13" s="2" t="str">
        <f>IF(ABS(E13-G13)&lt;0.01,"PASS","FAIL")</f>
        <v>PASS</v>
      </c>
    </row>
    <row r="14" spans="1:12" x14ac:dyDescent="0.25">
      <c r="A14" s="2" t="s">
        <v>80</v>
      </c>
      <c r="B14" s="13">
        <v>0</v>
      </c>
      <c r="D14" s="2" t="s">
        <v>81</v>
      </c>
      <c r="E14" s="11">
        <f>($B$15+$B$10+$B$11+$B$12-$B$16)*$B$4</f>
        <v>0</v>
      </c>
      <c r="G14" s="10">
        <v>0</v>
      </c>
      <c r="H14" s="10">
        <v>0</v>
      </c>
      <c r="I14" s="2" t="str">
        <f>IF(ABS(E14-H14)&lt;0.01,"PASS","FAIL")</f>
        <v>PASS</v>
      </c>
      <c r="J14" s="2" t="str">
        <f>IF(ABS(E14-G14)&lt;0.01,"PASS","FAIL")</f>
        <v>PASS</v>
      </c>
    </row>
    <row r="15" spans="1:12" x14ac:dyDescent="0.25">
      <c r="A15" s="2" t="s">
        <v>82</v>
      </c>
      <c r="B15" s="13">
        <v>0.1</v>
      </c>
      <c r="D15" s="2" t="s">
        <v>83</v>
      </c>
      <c r="E15" s="11">
        <f>12*$B$5</f>
        <v>12000</v>
      </c>
      <c r="H15" s="10">
        <v>12000</v>
      </c>
      <c r="I15" s="2" t="str">
        <f>IF(ABS(E15-H15)&lt;0.01,"PASS","FAIL")</f>
        <v>PASS</v>
      </c>
    </row>
    <row r="16" spans="1:12" x14ac:dyDescent="0.25">
      <c r="A16" s="2" t="s">
        <v>84</v>
      </c>
      <c r="B16" s="13">
        <v>0.1</v>
      </c>
      <c r="D16" s="2" t="s">
        <v>85</v>
      </c>
      <c r="E16" s="11">
        <f>INDEX(C21:C50,$B$9)</f>
        <v>0</v>
      </c>
      <c r="H16" s="10">
        <v>0</v>
      </c>
      <c r="I16" s="2" t="str">
        <f>IF(ABS(E16-H16)&lt;0.01,"PASS","FAIL")</f>
        <v>PASS</v>
      </c>
    </row>
    <row r="17" spans="1:12" x14ac:dyDescent="0.25">
      <c r="A17" s="2" t="s">
        <v>86</v>
      </c>
      <c r="B17" s="13">
        <v>0</v>
      </c>
      <c r="G17" s="5" t="s">
        <v>87</v>
      </c>
    </row>
    <row r="19" spans="1:12" x14ac:dyDescent="0.25">
      <c r="A19" s="3" t="s">
        <v>88</v>
      </c>
    </row>
    <row r="20" spans="1:12" ht="30" customHeight="1" x14ac:dyDescent="0.25">
      <c r="A20" s="21" t="s">
        <v>89</v>
      </c>
      <c r="B20" s="21" t="s">
        <v>90</v>
      </c>
      <c r="C20" s="21" t="s">
        <v>91</v>
      </c>
      <c r="D20" s="21" t="s">
        <v>92</v>
      </c>
      <c r="E20" s="21" t="s">
        <v>93</v>
      </c>
      <c r="F20" s="21" t="s">
        <v>94</v>
      </c>
      <c r="G20" s="21" t="s">
        <v>95</v>
      </c>
      <c r="H20" s="21" t="s">
        <v>96</v>
      </c>
      <c r="I20" s="21" t="s">
        <v>97</v>
      </c>
      <c r="J20" s="21" t="s">
        <v>98</v>
      </c>
      <c r="K20" s="21" t="s">
        <v>99</v>
      </c>
      <c r="L20" s="21" t="s">
        <v>100</v>
      </c>
    </row>
    <row r="21" spans="1:12" x14ac:dyDescent="0.25">
      <c r="A21" s="14">
        <v>1</v>
      </c>
      <c r="B21" s="11">
        <f t="shared" ref="B21:B50" si="0">$B$4*(1+$B$16)^A21</f>
        <v>110000.00000000001</v>
      </c>
      <c r="C21" s="11">
        <f t="shared" ref="C21:C50" si="1">IF(OR($E$4=0,A21&gt;=$B$8),0,IF($E$5=0,$E$4-12*A21*$E$7,$E$4*(1+$E$5)^(12*A21)-$E$7*((1+$E$5)^(12*A21)-1)/$E$5))</f>
        <v>0</v>
      </c>
      <c r="D21" s="11">
        <f t="shared" ref="D21:D50" si="2">IF(A21&lt;=$B$8,12*$E$7,0)+($B$10+$B$11+$B$12)*$B$4*(1+$B$16)^(A21-1)</f>
        <v>0</v>
      </c>
      <c r="E21" s="11">
        <f t="shared" ref="E21:E50" si="3">D21/(1+$B$15)^A21</f>
        <v>0</v>
      </c>
      <c r="F21" s="11">
        <f>SUM($E$21:E21)</f>
        <v>0</v>
      </c>
      <c r="G21" s="11">
        <f t="shared" ref="G21:G50" si="4">12*$B$5*(1+$B$17)^(A21-1)</f>
        <v>12000</v>
      </c>
      <c r="H21" s="11">
        <f t="shared" ref="H21:H50" si="5">G21/(1+$B$15)^A21</f>
        <v>10909.090909090908</v>
      </c>
      <c r="I21" s="11">
        <f>SUM($H$21:H21)</f>
        <v>10909.090909090908</v>
      </c>
      <c r="J21" s="11">
        <f t="shared" ref="J21:J50" si="6">($B$6+$B$13)*$B$4+F21-(B21*(1-$B$14)-C21)/(1+$B$15)^A21</f>
        <v>0</v>
      </c>
      <c r="K21" s="11">
        <f t="shared" ref="K21:K50" si="7">I21-J21</f>
        <v>10909.090909090908</v>
      </c>
      <c r="L21" s="14">
        <f t="shared" ref="L21:L50" si="8">IF(K21&gt;=0,A21,"")</f>
        <v>1</v>
      </c>
    </row>
    <row r="22" spans="1:12" x14ac:dyDescent="0.25">
      <c r="A22" s="14">
        <v>2</v>
      </c>
      <c r="B22" s="11">
        <f t="shared" si="0"/>
        <v>121000.00000000001</v>
      </c>
      <c r="C22" s="11">
        <f t="shared" si="1"/>
        <v>0</v>
      </c>
      <c r="D22" s="11">
        <f t="shared" si="2"/>
        <v>0</v>
      </c>
      <c r="E22" s="11">
        <f t="shared" si="3"/>
        <v>0</v>
      </c>
      <c r="F22" s="11">
        <f>SUM($E$21:E22)</f>
        <v>0</v>
      </c>
      <c r="G22" s="11">
        <f t="shared" si="4"/>
        <v>12000</v>
      </c>
      <c r="H22" s="11">
        <f t="shared" si="5"/>
        <v>9917.355371900825</v>
      </c>
      <c r="I22" s="11">
        <f>SUM($H$21:H22)</f>
        <v>20826.446280991731</v>
      </c>
      <c r="J22" s="11">
        <f t="shared" si="6"/>
        <v>0</v>
      </c>
      <c r="K22" s="11">
        <f t="shared" si="7"/>
        <v>20826.446280991731</v>
      </c>
      <c r="L22" s="14">
        <f t="shared" si="8"/>
        <v>2</v>
      </c>
    </row>
    <row r="23" spans="1:12" x14ac:dyDescent="0.25">
      <c r="A23" s="14">
        <v>3</v>
      </c>
      <c r="B23" s="11">
        <f t="shared" si="0"/>
        <v>133100.00000000003</v>
      </c>
      <c r="C23" s="11">
        <f t="shared" si="1"/>
        <v>0</v>
      </c>
      <c r="D23" s="11">
        <f t="shared" si="2"/>
        <v>0</v>
      </c>
      <c r="E23" s="11">
        <f t="shared" si="3"/>
        <v>0</v>
      </c>
      <c r="F23" s="11">
        <f>SUM($E$21:E23)</f>
        <v>0</v>
      </c>
      <c r="G23" s="11">
        <f t="shared" si="4"/>
        <v>12000</v>
      </c>
      <c r="H23" s="11">
        <f t="shared" si="5"/>
        <v>9015.77761081893</v>
      </c>
      <c r="I23" s="11">
        <f>SUM($H$21:H23)</f>
        <v>29842.22389181066</v>
      </c>
      <c r="J23" s="11">
        <f t="shared" si="6"/>
        <v>0</v>
      </c>
      <c r="K23" s="11">
        <f t="shared" si="7"/>
        <v>29842.22389181066</v>
      </c>
      <c r="L23" s="14">
        <f t="shared" si="8"/>
        <v>3</v>
      </c>
    </row>
    <row r="24" spans="1:12" x14ac:dyDescent="0.25">
      <c r="A24" s="14">
        <v>4</v>
      </c>
      <c r="B24" s="11">
        <f t="shared" si="0"/>
        <v>146410.00000000003</v>
      </c>
      <c r="C24" s="11">
        <f t="shared" si="1"/>
        <v>0</v>
      </c>
      <c r="D24" s="11">
        <f t="shared" si="2"/>
        <v>0</v>
      </c>
      <c r="E24" s="11">
        <f t="shared" si="3"/>
        <v>0</v>
      </c>
      <c r="F24" s="11">
        <f>SUM($E$21:E24)</f>
        <v>0</v>
      </c>
      <c r="G24" s="11">
        <f t="shared" si="4"/>
        <v>12000</v>
      </c>
      <c r="H24" s="11">
        <f t="shared" si="5"/>
        <v>8196.1614643808462</v>
      </c>
      <c r="I24" s="11">
        <f>SUM($H$21:H24)</f>
        <v>38038.385356191502</v>
      </c>
      <c r="J24" s="11">
        <f t="shared" si="6"/>
        <v>0</v>
      </c>
      <c r="K24" s="11">
        <f t="shared" si="7"/>
        <v>38038.385356191502</v>
      </c>
      <c r="L24" s="14">
        <f t="shared" si="8"/>
        <v>4</v>
      </c>
    </row>
    <row r="25" spans="1:12" x14ac:dyDescent="0.25">
      <c r="A25" s="14">
        <v>5</v>
      </c>
      <c r="B25" s="11">
        <f t="shared" si="0"/>
        <v>161051.00000000006</v>
      </c>
      <c r="C25" s="11">
        <f t="shared" si="1"/>
        <v>0</v>
      </c>
      <c r="D25" s="11">
        <f t="shared" si="2"/>
        <v>0</v>
      </c>
      <c r="E25" s="11">
        <f t="shared" si="3"/>
        <v>0</v>
      </c>
      <c r="F25" s="11">
        <f>SUM($E$21:E25)</f>
        <v>0</v>
      </c>
      <c r="G25" s="11">
        <f t="shared" si="4"/>
        <v>12000</v>
      </c>
      <c r="H25" s="11">
        <f t="shared" si="5"/>
        <v>7451.0558767098591</v>
      </c>
      <c r="I25" s="11">
        <f>SUM($H$21:H25)</f>
        <v>45489.441232901358</v>
      </c>
      <c r="J25" s="11">
        <f t="shared" si="6"/>
        <v>0</v>
      </c>
      <c r="K25" s="11">
        <f t="shared" si="7"/>
        <v>45489.441232901358</v>
      </c>
      <c r="L25" s="14">
        <f t="shared" si="8"/>
        <v>5</v>
      </c>
    </row>
    <row r="26" spans="1:12" x14ac:dyDescent="0.25">
      <c r="A26" s="14">
        <v>6</v>
      </c>
      <c r="B26" s="11">
        <f t="shared" si="0"/>
        <v>177156.10000000009</v>
      </c>
      <c r="C26" s="11">
        <f t="shared" si="1"/>
        <v>0</v>
      </c>
      <c r="D26" s="11">
        <f t="shared" si="2"/>
        <v>0</v>
      </c>
      <c r="E26" s="11">
        <f t="shared" si="3"/>
        <v>0</v>
      </c>
      <c r="F26" s="11">
        <f>SUM($E$21:E26)</f>
        <v>0</v>
      </c>
      <c r="G26" s="11">
        <f t="shared" si="4"/>
        <v>12000</v>
      </c>
      <c r="H26" s="11">
        <f t="shared" si="5"/>
        <v>6773.687160645326</v>
      </c>
      <c r="I26" s="11">
        <f>SUM($H$21:H26)</f>
        <v>52263.128393546685</v>
      </c>
      <c r="J26" s="11">
        <f t="shared" si="6"/>
        <v>0</v>
      </c>
      <c r="K26" s="11">
        <f t="shared" si="7"/>
        <v>52263.128393546685</v>
      </c>
      <c r="L26" s="14">
        <f t="shared" si="8"/>
        <v>6</v>
      </c>
    </row>
    <row r="27" spans="1:12" x14ac:dyDescent="0.25">
      <c r="A27" s="14">
        <v>7</v>
      </c>
      <c r="B27" s="11">
        <f t="shared" si="0"/>
        <v>194871.71000000011</v>
      </c>
      <c r="C27" s="11">
        <f t="shared" si="1"/>
        <v>0</v>
      </c>
      <c r="D27" s="11">
        <f t="shared" si="2"/>
        <v>0</v>
      </c>
      <c r="E27" s="11">
        <f t="shared" si="3"/>
        <v>0</v>
      </c>
      <c r="F27" s="11">
        <f>SUM($E$21:E27)</f>
        <v>0</v>
      </c>
      <c r="G27" s="11">
        <f t="shared" si="4"/>
        <v>12000</v>
      </c>
      <c r="H27" s="11">
        <f t="shared" si="5"/>
        <v>6157.8974187684771</v>
      </c>
      <c r="I27" s="11">
        <f>SUM($H$21:H27)</f>
        <v>58421.025812315165</v>
      </c>
      <c r="J27" s="11">
        <f t="shared" si="6"/>
        <v>0</v>
      </c>
      <c r="K27" s="11">
        <f t="shared" si="7"/>
        <v>58421.025812315165</v>
      </c>
      <c r="L27" s="14">
        <f t="shared" si="8"/>
        <v>7</v>
      </c>
    </row>
    <row r="28" spans="1:12" x14ac:dyDescent="0.25">
      <c r="A28" s="14">
        <v>8</v>
      </c>
      <c r="B28" s="11">
        <f t="shared" si="0"/>
        <v>214358.88100000011</v>
      </c>
      <c r="C28" s="11">
        <f t="shared" si="1"/>
        <v>0</v>
      </c>
      <c r="D28" s="11">
        <f t="shared" si="2"/>
        <v>0</v>
      </c>
      <c r="E28" s="11">
        <f t="shared" si="3"/>
        <v>0</v>
      </c>
      <c r="F28" s="11">
        <f>SUM($E$21:E28)</f>
        <v>0</v>
      </c>
      <c r="G28" s="11">
        <f t="shared" si="4"/>
        <v>12000</v>
      </c>
      <c r="H28" s="11">
        <f t="shared" si="5"/>
        <v>5598.0885625167984</v>
      </c>
      <c r="I28" s="11">
        <f>SUM($H$21:H28)</f>
        <v>64019.114374831966</v>
      </c>
      <c r="J28" s="11">
        <f t="shared" si="6"/>
        <v>0</v>
      </c>
      <c r="K28" s="11">
        <f t="shared" si="7"/>
        <v>64019.114374831966</v>
      </c>
      <c r="L28" s="14">
        <f t="shared" si="8"/>
        <v>8</v>
      </c>
    </row>
    <row r="29" spans="1:12" x14ac:dyDescent="0.25">
      <c r="A29" s="14">
        <v>9</v>
      </c>
      <c r="B29" s="11">
        <f t="shared" si="0"/>
        <v>235794.76910000015</v>
      </c>
      <c r="C29" s="11">
        <f t="shared" si="1"/>
        <v>0</v>
      </c>
      <c r="D29" s="11">
        <f t="shared" si="2"/>
        <v>0</v>
      </c>
      <c r="E29" s="11">
        <f t="shared" si="3"/>
        <v>0</v>
      </c>
      <c r="F29" s="11">
        <f>SUM($E$21:E29)</f>
        <v>0</v>
      </c>
      <c r="G29" s="11">
        <f t="shared" si="4"/>
        <v>12000</v>
      </c>
      <c r="H29" s="11">
        <f t="shared" si="5"/>
        <v>5089.1714204698155</v>
      </c>
      <c r="I29" s="11">
        <f>SUM($H$21:H29)</f>
        <v>69108.285795301781</v>
      </c>
      <c r="J29" s="11">
        <f t="shared" si="6"/>
        <v>0</v>
      </c>
      <c r="K29" s="11">
        <f t="shared" si="7"/>
        <v>69108.285795301781</v>
      </c>
      <c r="L29" s="14">
        <f t="shared" si="8"/>
        <v>9</v>
      </c>
    </row>
    <row r="30" spans="1:12" x14ac:dyDescent="0.25">
      <c r="A30" s="14">
        <v>10</v>
      </c>
      <c r="B30" s="11">
        <f t="shared" si="0"/>
        <v>259374.24601000018</v>
      </c>
      <c r="C30" s="11">
        <f t="shared" si="1"/>
        <v>0</v>
      </c>
      <c r="D30" s="11">
        <f t="shared" si="2"/>
        <v>0</v>
      </c>
      <c r="E30" s="11">
        <f t="shared" si="3"/>
        <v>0</v>
      </c>
      <c r="F30" s="11">
        <f>SUM($E$21:E30)</f>
        <v>0</v>
      </c>
      <c r="G30" s="11">
        <f t="shared" si="4"/>
        <v>12000</v>
      </c>
      <c r="H30" s="11">
        <f t="shared" si="5"/>
        <v>4626.5194731543779</v>
      </c>
      <c r="I30" s="11">
        <f>SUM($H$21:H30)</f>
        <v>73734.805268456155</v>
      </c>
      <c r="J30" s="11">
        <f t="shared" si="6"/>
        <v>0</v>
      </c>
      <c r="K30" s="11">
        <f t="shared" si="7"/>
        <v>73734.805268456155</v>
      </c>
      <c r="L30" s="14">
        <f t="shared" si="8"/>
        <v>10</v>
      </c>
    </row>
    <row r="31" spans="1:12" x14ac:dyDescent="0.25">
      <c r="A31" s="14">
        <v>11</v>
      </c>
      <c r="B31" s="11">
        <f t="shared" si="0"/>
        <v>285311.67061100027</v>
      </c>
      <c r="C31" s="11">
        <f t="shared" si="1"/>
        <v>0</v>
      </c>
      <c r="D31" s="11">
        <f t="shared" si="2"/>
        <v>0</v>
      </c>
      <c r="E31" s="11">
        <f t="shared" si="3"/>
        <v>0</v>
      </c>
      <c r="F31" s="11">
        <f>SUM($E$21:E31)</f>
        <v>0</v>
      </c>
      <c r="G31" s="11">
        <f t="shared" si="4"/>
        <v>12000</v>
      </c>
      <c r="H31" s="11">
        <f t="shared" si="5"/>
        <v>4205.9267937767063</v>
      </c>
      <c r="I31" s="11">
        <f>SUM($H$21:H31)</f>
        <v>77940.732062232855</v>
      </c>
      <c r="J31" s="11">
        <f t="shared" si="6"/>
        <v>0</v>
      </c>
      <c r="K31" s="11">
        <f t="shared" si="7"/>
        <v>77940.732062232855</v>
      </c>
      <c r="L31" s="14">
        <f t="shared" si="8"/>
        <v>11</v>
      </c>
    </row>
    <row r="32" spans="1:12" x14ac:dyDescent="0.25">
      <c r="A32" s="14">
        <v>12</v>
      </c>
      <c r="B32" s="11">
        <f t="shared" si="0"/>
        <v>313842.83767210029</v>
      </c>
      <c r="C32" s="11">
        <f t="shared" si="1"/>
        <v>0</v>
      </c>
      <c r="D32" s="11">
        <f t="shared" si="2"/>
        <v>0</v>
      </c>
      <c r="E32" s="11">
        <f t="shared" si="3"/>
        <v>0</v>
      </c>
      <c r="F32" s="11">
        <f>SUM($E$21:E32)</f>
        <v>0</v>
      </c>
      <c r="G32" s="11">
        <f t="shared" si="4"/>
        <v>12000</v>
      </c>
      <c r="H32" s="11">
        <f t="shared" si="5"/>
        <v>3823.5698125242784</v>
      </c>
      <c r="I32" s="11">
        <f>SUM($H$21:H32)</f>
        <v>81764.301874757133</v>
      </c>
      <c r="J32" s="11">
        <f t="shared" si="6"/>
        <v>0</v>
      </c>
      <c r="K32" s="11">
        <f t="shared" si="7"/>
        <v>81764.301874757133</v>
      </c>
      <c r="L32" s="14">
        <f t="shared" si="8"/>
        <v>12</v>
      </c>
    </row>
    <row r="33" spans="1:12" x14ac:dyDescent="0.25">
      <c r="A33" s="14">
        <v>13</v>
      </c>
      <c r="B33" s="11">
        <f t="shared" si="0"/>
        <v>345227.12143931031</v>
      </c>
      <c r="C33" s="11">
        <f t="shared" si="1"/>
        <v>0</v>
      </c>
      <c r="D33" s="11">
        <f t="shared" si="2"/>
        <v>0</v>
      </c>
      <c r="E33" s="11">
        <f t="shared" si="3"/>
        <v>0</v>
      </c>
      <c r="F33" s="11">
        <f>SUM($E$21:E33)</f>
        <v>0</v>
      </c>
      <c r="G33" s="11">
        <f t="shared" si="4"/>
        <v>12000</v>
      </c>
      <c r="H33" s="11">
        <f t="shared" si="5"/>
        <v>3475.9725568402532</v>
      </c>
      <c r="I33" s="11">
        <f>SUM($H$21:H33)</f>
        <v>85240.274431597383</v>
      </c>
      <c r="J33" s="11">
        <f t="shared" si="6"/>
        <v>0</v>
      </c>
      <c r="K33" s="11">
        <f t="shared" si="7"/>
        <v>85240.274431597383</v>
      </c>
      <c r="L33" s="14">
        <f t="shared" si="8"/>
        <v>13</v>
      </c>
    </row>
    <row r="34" spans="1:12" x14ac:dyDescent="0.25">
      <c r="A34" s="14">
        <v>14</v>
      </c>
      <c r="B34" s="11">
        <f t="shared" si="0"/>
        <v>379749.83358324139</v>
      </c>
      <c r="C34" s="11">
        <f t="shared" si="1"/>
        <v>0</v>
      </c>
      <c r="D34" s="11">
        <f t="shared" si="2"/>
        <v>0</v>
      </c>
      <c r="E34" s="11">
        <f t="shared" si="3"/>
        <v>0</v>
      </c>
      <c r="F34" s="11">
        <f>SUM($E$21:E34)</f>
        <v>0</v>
      </c>
      <c r="G34" s="11">
        <f t="shared" si="4"/>
        <v>12000</v>
      </c>
      <c r="H34" s="11">
        <f t="shared" si="5"/>
        <v>3159.9750516729569</v>
      </c>
      <c r="I34" s="11">
        <f>SUM($H$21:H34)</f>
        <v>88400.249483270338</v>
      </c>
      <c r="J34" s="11">
        <f t="shared" si="6"/>
        <v>0</v>
      </c>
      <c r="K34" s="11">
        <f t="shared" si="7"/>
        <v>88400.249483270338</v>
      </c>
      <c r="L34" s="14">
        <f t="shared" si="8"/>
        <v>14</v>
      </c>
    </row>
    <row r="35" spans="1:12" x14ac:dyDescent="0.25">
      <c r="A35" s="14">
        <v>15</v>
      </c>
      <c r="B35" s="11">
        <f t="shared" si="0"/>
        <v>417724.81694156554</v>
      </c>
      <c r="C35" s="11">
        <f t="shared" si="1"/>
        <v>0</v>
      </c>
      <c r="D35" s="11">
        <f t="shared" si="2"/>
        <v>0</v>
      </c>
      <c r="E35" s="11">
        <f t="shared" si="3"/>
        <v>0</v>
      </c>
      <c r="F35" s="11">
        <f>SUM($E$21:E35)</f>
        <v>0</v>
      </c>
      <c r="G35" s="11">
        <f t="shared" si="4"/>
        <v>12000</v>
      </c>
      <c r="H35" s="11">
        <f t="shared" si="5"/>
        <v>2872.7045924299609</v>
      </c>
      <c r="I35" s="11">
        <f>SUM($H$21:H35)</f>
        <v>91272.954075700298</v>
      </c>
      <c r="J35" s="11">
        <f t="shared" si="6"/>
        <v>0</v>
      </c>
      <c r="K35" s="11">
        <f t="shared" si="7"/>
        <v>91272.954075700298</v>
      </c>
      <c r="L35" s="14">
        <f t="shared" si="8"/>
        <v>15</v>
      </c>
    </row>
    <row r="36" spans="1:12" x14ac:dyDescent="0.25">
      <c r="A36" s="14">
        <v>16</v>
      </c>
      <c r="B36" s="11">
        <f t="shared" si="0"/>
        <v>459497.29863572208</v>
      </c>
      <c r="C36" s="11">
        <f t="shared" si="1"/>
        <v>0</v>
      </c>
      <c r="D36" s="11">
        <f t="shared" si="2"/>
        <v>0</v>
      </c>
      <c r="E36" s="11">
        <f t="shared" si="3"/>
        <v>0</v>
      </c>
      <c r="F36" s="11">
        <f>SUM($E$21:E36)</f>
        <v>0</v>
      </c>
      <c r="G36" s="11">
        <f t="shared" si="4"/>
        <v>12000</v>
      </c>
      <c r="H36" s="11">
        <f t="shared" si="5"/>
        <v>2611.5496294817826</v>
      </c>
      <c r="I36" s="11">
        <f>SUM($H$21:H36)</f>
        <v>93884.503705182084</v>
      </c>
      <c r="J36" s="11">
        <f t="shared" si="6"/>
        <v>0</v>
      </c>
      <c r="K36" s="11">
        <f t="shared" si="7"/>
        <v>93884.503705182084</v>
      </c>
      <c r="L36" s="14">
        <f t="shared" si="8"/>
        <v>16</v>
      </c>
    </row>
    <row r="37" spans="1:12" x14ac:dyDescent="0.25">
      <c r="A37" s="14">
        <v>17</v>
      </c>
      <c r="B37" s="11">
        <f t="shared" si="0"/>
        <v>505447.02849929431</v>
      </c>
      <c r="C37" s="11">
        <f t="shared" si="1"/>
        <v>0</v>
      </c>
      <c r="D37" s="11">
        <f t="shared" si="2"/>
        <v>0</v>
      </c>
      <c r="E37" s="11">
        <f t="shared" si="3"/>
        <v>0</v>
      </c>
      <c r="F37" s="11">
        <f>SUM($E$21:E37)</f>
        <v>0</v>
      </c>
      <c r="G37" s="11">
        <f t="shared" si="4"/>
        <v>12000</v>
      </c>
      <c r="H37" s="11">
        <f t="shared" si="5"/>
        <v>2374.1360268016206</v>
      </c>
      <c r="I37" s="11">
        <f>SUM($H$21:H37)</f>
        <v>96258.639731983698</v>
      </c>
      <c r="J37" s="11">
        <f t="shared" si="6"/>
        <v>0</v>
      </c>
      <c r="K37" s="11">
        <f t="shared" si="7"/>
        <v>96258.639731983698</v>
      </c>
      <c r="L37" s="14">
        <f t="shared" si="8"/>
        <v>17</v>
      </c>
    </row>
    <row r="38" spans="1:12" x14ac:dyDescent="0.25">
      <c r="A38" s="14">
        <v>18</v>
      </c>
      <c r="B38" s="11">
        <f t="shared" si="0"/>
        <v>555991.73134922376</v>
      </c>
      <c r="C38" s="11">
        <f t="shared" si="1"/>
        <v>0</v>
      </c>
      <c r="D38" s="11">
        <f t="shared" si="2"/>
        <v>0</v>
      </c>
      <c r="E38" s="11">
        <f t="shared" si="3"/>
        <v>0</v>
      </c>
      <c r="F38" s="11">
        <f>SUM($E$21:E38)</f>
        <v>0</v>
      </c>
      <c r="G38" s="11">
        <f t="shared" si="4"/>
        <v>12000</v>
      </c>
      <c r="H38" s="11">
        <f t="shared" si="5"/>
        <v>2158.305478910564</v>
      </c>
      <c r="I38" s="11">
        <f>SUM($H$21:H38)</f>
        <v>98416.945210894264</v>
      </c>
      <c r="J38" s="11">
        <f t="shared" si="6"/>
        <v>0</v>
      </c>
      <c r="K38" s="11">
        <f t="shared" si="7"/>
        <v>98416.945210894264</v>
      </c>
      <c r="L38" s="14">
        <f t="shared" si="8"/>
        <v>18</v>
      </c>
    </row>
    <row r="39" spans="1:12" x14ac:dyDescent="0.25">
      <c r="A39" s="14">
        <v>19</v>
      </c>
      <c r="B39" s="11">
        <f t="shared" si="0"/>
        <v>611590.90448414627</v>
      </c>
      <c r="C39" s="11">
        <f t="shared" si="1"/>
        <v>0</v>
      </c>
      <c r="D39" s="11">
        <f t="shared" si="2"/>
        <v>0</v>
      </c>
      <c r="E39" s="11">
        <f t="shared" si="3"/>
        <v>0</v>
      </c>
      <c r="F39" s="11">
        <f>SUM($E$21:E39)</f>
        <v>0</v>
      </c>
      <c r="G39" s="11">
        <f t="shared" si="4"/>
        <v>12000</v>
      </c>
      <c r="H39" s="11">
        <f t="shared" si="5"/>
        <v>1962.095889918694</v>
      </c>
      <c r="I39" s="11">
        <f>SUM($H$21:H39)</f>
        <v>100379.04110081296</v>
      </c>
      <c r="J39" s="11">
        <f t="shared" si="6"/>
        <v>0</v>
      </c>
      <c r="K39" s="11">
        <f t="shared" si="7"/>
        <v>100379.04110081296</v>
      </c>
      <c r="L39" s="14">
        <f t="shared" si="8"/>
        <v>19</v>
      </c>
    </row>
    <row r="40" spans="1:12" x14ac:dyDescent="0.25">
      <c r="A40" s="14">
        <v>20</v>
      </c>
      <c r="B40" s="11">
        <f t="shared" si="0"/>
        <v>672749.99493256095</v>
      </c>
      <c r="C40" s="11">
        <f t="shared" si="1"/>
        <v>0</v>
      </c>
      <c r="D40" s="11">
        <f t="shared" si="2"/>
        <v>0</v>
      </c>
      <c r="E40" s="11">
        <f t="shared" si="3"/>
        <v>0</v>
      </c>
      <c r="F40" s="11">
        <f>SUM($E$21:E40)</f>
        <v>0</v>
      </c>
      <c r="G40" s="11">
        <f t="shared" si="4"/>
        <v>12000</v>
      </c>
      <c r="H40" s="11">
        <f t="shared" si="5"/>
        <v>1783.7235362897218</v>
      </c>
      <c r="I40" s="11">
        <f>SUM($H$21:H40)</f>
        <v>102162.76463710268</v>
      </c>
      <c r="J40" s="11">
        <f t="shared" si="6"/>
        <v>0</v>
      </c>
      <c r="K40" s="11">
        <f t="shared" si="7"/>
        <v>102162.76463710268</v>
      </c>
      <c r="L40" s="14">
        <f t="shared" si="8"/>
        <v>20</v>
      </c>
    </row>
    <row r="41" spans="1:12" x14ac:dyDescent="0.25">
      <c r="A41" s="14">
        <v>21</v>
      </c>
      <c r="B41" s="11">
        <f t="shared" si="0"/>
        <v>740024.99442581704</v>
      </c>
      <c r="C41" s="11">
        <f t="shared" si="1"/>
        <v>0</v>
      </c>
      <c r="D41" s="11">
        <f t="shared" si="2"/>
        <v>0</v>
      </c>
      <c r="E41" s="11">
        <f t="shared" si="3"/>
        <v>0</v>
      </c>
      <c r="F41" s="11">
        <f>SUM($E$21:E41)</f>
        <v>0</v>
      </c>
      <c r="G41" s="11">
        <f t="shared" si="4"/>
        <v>12000</v>
      </c>
      <c r="H41" s="11">
        <f t="shared" si="5"/>
        <v>1621.5668511724741</v>
      </c>
      <c r="I41" s="11">
        <f>SUM($H$21:H41)</f>
        <v>103784.33148827516</v>
      </c>
      <c r="J41" s="11">
        <f t="shared" si="6"/>
        <v>0</v>
      </c>
      <c r="K41" s="11">
        <f t="shared" si="7"/>
        <v>103784.33148827516</v>
      </c>
      <c r="L41" s="14">
        <f t="shared" si="8"/>
        <v>21</v>
      </c>
    </row>
    <row r="42" spans="1:12" x14ac:dyDescent="0.25">
      <c r="A42" s="14">
        <v>22</v>
      </c>
      <c r="B42" s="11">
        <f t="shared" si="0"/>
        <v>814027.49386839895</v>
      </c>
      <c r="C42" s="11">
        <f t="shared" si="1"/>
        <v>0</v>
      </c>
      <c r="D42" s="11">
        <f t="shared" si="2"/>
        <v>0</v>
      </c>
      <c r="E42" s="11">
        <f t="shared" si="3"/>
        <v>0</v>
      </c>
      <c r="F42" s="11">
        <f>SUM($E$21:E42)</f>
        <v>0</v>
      </c>
      <c r="G42" s="11">
        <f t="shared" si="4"/>
        <v>12000</v>
      </c>
      <c r="H42" s="11">
        <f t="shared" si="5"/>
        <v>1474.1516828840672</v>
      </c>
      <c r="I42" s="11">
        <f>SUM($H$21:H42)</f>
        <v>105258.48317115923</v>
      </c>
      <c r="J42" s="11">
        <f t="shared" si="6"/>
        <v>0</v>
      </c>
      <c r="K42" s="11">
        <f t="shared" si="7"/>
        <v>105258.48317115923</v>
      </c>
      <c r="L42" s="14">
        <f t="shared" si="8"/>
        <v>22</v>
      </c>
    </row>
    <row r="43" spans="1:12" x14ac:dyDescent="0.25">
      <c r="A43" s="14">
        <v>23</v>
      </c>
      <c r="B43" s="11">
        <f t="shared" si="0"/>
        <v>895430.24325523886</v>
      </c>
      <c r="C43" s="11">
        <f t="shared" si="1"/>
        <v>0</v>
      </c>
      <c r="D43" s="11">
        <f t="shared" si="2"/>
        <v>0</v>
      </c>
      <c r="E43" s="11">
        <f t="shared" si="3"/>
        <v>0</v>
      </c>
      <c r="F43" s="11">
        <f>SUM($E$21:E43)</f>
        <v>0</v>
      </c>
      <c r="G43" s="11">
        <f t="shared" si="4"/>
        <v>12000</v>
      </c>
      <c r="H43" s="11">
        <f t="shared" si="5"/>
        <v>1340.1378935309701</v>
      </c>
      <c r="I43" s="11">
        <f>SUM($H$21:H43)</f>
        <v>106598.6210646902</v>
      </c>
      <c r="J43" s="11">
        <f t="shared" si="6"/>
        <v>0</v>
      </c>
      <c r="K43" s="11">
        <f t="shared" si="7"/>
        <v>106598.6210646902</v>
      </c>
      <c r="L43" s="14">
        <f t="shared" si="8"/>
        <v>23</v>
      </c>
    </row>
    <row r="44" spans="1:12" x14ac:dyDescent="0.25">
      <c r="A44" s="14">
        <v>24</v>
      </c>
      <c r="B44" s="11">
        <f t="shared" si="0"/>
        <v>984973.26758076262</v>
      </c>
      <c r="C44" s="11">
        <f t="shared" si="1"/>
        <v>0</v>
      </c>
      <c r="D44" s="11">
        <f t="shared" si="2"/>
        <v>0</v>
      </c>
      <c r="E44" s="11">
        <f t="shared" si="3"/>
        <v>0</v>
      </c>
      <c r="F44" s="11">
        <f>SUM($E$21:E44)</f>
        <v>0</v>
      </c>
      <c r="G44" s="11">
        <f t="shared" si="4"/>
        <v>12000</v>
      </c>
      <c r="H44" s="11">
        <f t="shared" si="5"/>
        <v>1218.3071759372458</v>
      </c>
      <c r="I44" s="11">
        <f>SUM($H$21:H44)</f>
        <v>107816.92824062744</v>
      </c>
      <c r="J44" s="11">
        <f t="shared" si="6"/>
        <v>0</v>
      </c>
      <c r="K44" s="11">
        <f t="shared" si="7"/>
        <v>107816.92824062744</v>
      </c>
      <c r="L44" s="14">
        <f t="shared" si="8"/>
        <v>24</v>
      </c>
    </row>
    <row r="45" spans="1:12" x14ac:dyDescent="0.25">
      <c r="A45" s="14">
        <v>25</v>
      </c>
      <c r="B45" s="11">
        <f t="shared" si="0"/>
        <v>1083470.5943388392</v>
      </c>
      <c r="C45" s="11">
        <f t="shared" si="1"/>
        <v>0</v>
      </c>
      <c r="D45" s="11">
        <f t="shared" si="2"/>
        <v>0</v>
      </c>
      <c r="E45" s="11">
        <f t="shared" si="3"/>
        <v>0</v>
      </c>
      <c r="F45" s="11">
        <f>SUM($E$21:E45)</f>
        <v>0</v>
      </c>
      <c r="G45" s="11">
        <f t="shared" si="4"/>
        <v>12000</v>
      </c>
      <c r="H45" s="11">
        <f t="shared" si="5"/>
        <v>1107.5519781247685</v>
      </c>
      <c r="I45" s="11">
        <f>SUM($H$21:H45)</f>
        <v>108924.48021875221</v>
      </c>
      <c r="J45" s="11">
        <f t="shared" si="6"/>
        <v>0</v>
      </c>
      <c r="K45" s="11">
        <f t="shared" si="7"/>
        <v>108924.48021875221</v>
      </c>
      <c r="L45" s="14">
        <f t="shared" si="8"/>
        <v>25</v>
      </c>
    </row>
    <row r="46" spans="1:12" x14ac:dyDescent="0.25">
      <c r="A46" s="14">
        <v>26</v>
      </c>
      <c r="B46" s="11">
        <f t="shared" si="0"/>
        <v>1191817.6537727232</v>
      </c>
      <c r="C46" s="11">
        <f t="shared" si="1"/>
        <v>0</v>
      </c>
      <c r="D46" s="11">
        <f t="shared" si="2"/>
        <v>0</v>
      </c>
      <c r="E46" s="11">
        <f t="shared" si="3"/>
        <v>0</v>
      </c>
      <c r="F46" s="11">
        <f>SUM($E$21:E46)</f>
        <v>0</v>
      </c>
      <c r="G46" s="11">
        <f t="shared" si="4"/>
        <v>12000</v>
      </c>
      <c r="H46" s="11">
        <f t="shared" si="5"/>
        <v>1006.8654346588805</v>
      </c>
      <c r="I46" s="11">
        <f>SUM($H$21:H46)</f>
        <v>109931.34565341109</v>
      </c>
      <c r="J46" s="11">
        <f t="shared" si="6"/>
        <v>0</v>
      </c>
      <c r="K46" s="11">
        <f t="shared" si="7"/>
        <v>109931.34565341109</v>
      </c>
      <c r="L46" s="14">
        <f t="shared" si="8"/>
        <v>26</v>
      </c>
    </row>
    <row r="47" spans="1:12" x14ac:dyDescent="0.25">
      <c r="A47" s="14">
        <v>27</v>
      </c>
      <c r="B47" s="11">
        <f t="shared" si="0"/>
        <v>1310999.4191499955</v>
      </c>
      <c r="C47" s="11">
        <f t="shared" si="1"/>
        <v>0</v>
      </c>
      <c r="D47" s="11">
        <f t="shared" si="2"/>
        <v>0</v>
      </c>
      <c r="E47" s="11">
        <f t="shared" si="3"/>
        <v>0</v>
      </c>
      <c r="F47" s="11">
        <f>SUM($E$21:E47)</f>
        <v>0</v>
      </c>
      <c r="G47" s="11">
        <f t="shared" si="4"/>
        <v>12000</v>
      </c>
      <c r="H47" s="11">
        <f t="shared" si="5"/>
        <v>915.33221332625487</v>
      </c>
      <c r="I47" s="11">
        <f>SUM($H$21:H47)</f>
        <v>110846.67786673734</v>
      </c>
      <c r="J47" s="11">
        <f t="shared" si="6"/>
        <v>0</v>
      </c>
      <c r="K47" s="11">
        <f t="shared" si="7"/>
        <v>110846.67786673734</v>
      </c>
      <c r="L47" s="14">
        <f t="shared" si="8"/>
        <v>27</v>
      </c>
    </row>
    <row r="48" spans="1:12" x14ac:dyDescent="0.25">
      <c r="A48" s="14">
        <v>28</v>
      </c>
      <c r="B48" s="11">
        <f t="shared" si="0"/>
        <v>1442099.3610649952</v>
      </c>
      <c r="C48" s="11">
        <f t="shared" si="1"/>
        <v>0</v>
      </c>
      <c r="D48" s="11">
        <f t="shared" si="2"/>
        <v>0</v>
      </c>
      <c r="E48" s="11">
        <f t="shared" si="3"/>
        <v>0</v>
      </c>
      <c r="F48" s="11">
        <f>SUM($E$21:E48)</f>
        <v>0</v>
      </c>
      <c r="G48" s="11">
        <f t="shared" si="4"/>
        <v>12000</v>
      </c>
      <c r="H48" s="11">
        <f t="shared" si="5"/>
        <v>832.12019393295895</v>
      </c>
      <c r="I48" s="11">
        <f>SUM($H$21:H48)</f>
        <v>111678.79806067031</v>
      </c>
      <c r="J48" s="11">
        <f t="shared" si="6"/>
        <v>0</v>
      </c>
      <c r="K48" s="11">
        <f t="shared" si="7"/>
        <v>111678.79806067031</v>
      </c>
      <c r="L48" s="14">
        <f t="shared" si="8"/>
        <v>28</v>
      </c>
    </row>
    <row r="49" spans="1:12" x14ac:dyDescent="0.25">
      <c r="A49" s="14">
        <v>29</v>
      </c>
      <c r="B49" s="11">
        <f t="shared" si="0"/>
        <v>1586309.2971714947</v>
      </c>
      <c r="C49" s="11">
        <f t="shared" si="1"/>
        <v>0</v>
      </c>
      <c r="D49" s="11">
        <f t="shared" si="2"/>
        <v>0</v>
      </c>
      <c r="E49" s="11">
        <f t="shared" si="3"/>
        <v>0</v>
      </c>
      <c r="F49" s="11">
        <f>SUM($E$21:E49)</f>
        <v>0</v>
      </c>
      <c r="G49" s="11">
        <f t="shared" si="4"/>
        <v>12000</v>
      </c>
      <c r="H49" s="11">
        <f t="shared" si="5"/>
        <v>756.47290357541726</v>
      </c>
      <c r="I49" s="11">
        <f>SUM($H$21:H49)</f>
        <v>112435.27096424572</v>
      </c>
      <c r="J49" s="11">
        <f t="shared" si="6"/>
        <v>0</v>
      </c>
      <c r="K49" s="11">
        <f t="shared" si="7"/>
        <v>112435.27096424572</v>
      </c>
      <c r="L49" s="14">
        <f t="shared" si="8"/>
        <v>29</v>
      </c>
    </row>
    <row r="50" spans="1:12" x14ac:dyDescent="0.25">
      <c r="A50" s="14">
        <v>30</v>
      </c>
      <c r="B50" s="11">
        <f t="shared" si="0"/>
        <v>1744940.2268886445</v>
      </c>
      <c r="C50" s="11">
        <f t="shared" si="1"/>
        <v>0</v>
      </c>
      <c r="D50" s="11">
        <f t="shared" si="2"/>
        <v>0</v>
      </c>
      <c r="E50" s="11">
        <f t="shared" si="3"/>
        <v>0</v>
      </c>
      <c r="F50" s="11">
        <f>SUM($E$21:E50)</f>
        <v>0</v>
      </c>
      <c r="G50" s="11">
        <f t="shared" si="4"/>
        <v>12000</v>
      </c>
      <c r="H50" s="11">
        <f t="shared" si="5"/>
        <v>687.70263961401554</v>
      </c>
      <c r="I50" s="11">
        <f>SUM($H$21:H50)</f>
        <v>113122.97360385973</v>
      </c>
      <c r="J50" s="11">
        <f t="shared" si="6"/>
        <v>0</v>
      </c>
      <c r="K50" s="11">
        <f t="shared" si="7"/>
        <v>113122.97360385973</v>
      </c>
      <c r="L50" s="14">
        <f t="shared" si="8"/>
        <v>30</v>
      </c>
    </row>
  </sheetData>
  <mergeCells count="1">
    <mergeCell ref="A2:L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0"/>
  <sheetViews>
    <sheetView workbookViewId="0">
      <pane ySplit="20" topLeftCell="A21" activePane="bottomLeft" state="frozen"/>
      <selection pane="bottomLeft"/>
    </sheetView>
  </sheetViews>
  <sheetFormatPr defaultRowHeight="15" x14ac:dyDescent="0.25"/>
  <cols>
    <col min="1" max="1" width="27" customWidth="1"/>
    <col min="2" max="3" width="15" customWidth="1"/>
    <col min="4" max="4" width="30" customWidth="1"/>
    <col min="5" max="5" width="17" customWidth="1"/>
    <col min="6" max="6" width="15" customWidth="1"/>
    <col min="7" max="7" width="17" customWidth="1"/>
    <col min="8" max="10" width="15" customWidth="1"/>
    <col min="11" max="11" width="17" customWidth="1"/>
    <col min="12" max="12" width="11" customWidth="1"/>
  </cols>
  <sheetData>
    <row r="1" spans="1:12" ht="16.5" x14ac:dyDescent="0.25">
      <c r="A1" s="1" t="s">
        <v>109</v>
      </c>
    </row>
    <row r="2" spans="1:12" ht="48" customHeight="1" x14ac:dyDescent="0.25">
      <c r="A2" s="22" t="s">
        <v>110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t="s">
        <v>54</v>
      </c>
      <c r="D3" t="s">
        <v>55</v>
      </c>
    </row>
    <row r="4" spans="1:12" x14ac:dyDescent="0.25">
      <c r="A4" s="2" t="s">
        <v>56</v>
      </c>
      <c r="B4" s="10">
        <v>500000</v>
      </c>
      <c r="D4" s="2" t="s">
        <v>57</v>
      </c>
      <c r="E4" s="11">
        <f>(1-$B$6)*$B$4</f>
        <v>0</v>
      </c>
    </row>
    <row r="5" spans="1:12" x14ac:dyDescent="0.25">
      <c r="A5" s="2" t="s">
        <v>58</v>
      </c>
      <c r="B5" s="10">
        <v>1000</v>
      </c>
      <c r="D5" s="2" t="s">
        <v>59</v>
      </c>
      <c r="E5" s="12">
        <f>$B$7/12</f>
        <v>0</v>
      </c>
    </row>
    <row r="6" spans="1:12" x14ac:dyDescent="0.25">
      <c r="A6" s="2" t="s">
        <v>60</v>
      </c>
      <c r="B6" s="13">
        <v>1</v>
      </c>
      <c r="D6" s="2" t="s">
        <v>61</v>
      </c>
      <c r="E6" s="14">
        <f>12*$B$8</f>
        <v>360</v>
      </c>
    </row>
    <row r="7" spans="1:12" x14ac:dyDescent="0.25">
      <c r="A7" s="2" t="s">
        <v>62</v>
      </c>
      <c r="B7" s="15">
        <v>0</v>
      </c>
      <c r="D7" s="2" t="s">
        <v>63</v>
      </c>
      <c r="E7" s="11">
        <f>IF($E$4=0,0,IF($E$5=0,$E$4/$E$6,$E$4*$E$5*(1+$E$5)^$E$6/((1+$E$5)^$E$6-1)))</f>
        <v>0</v>
      </c>
      <c r="H7" s="10">
        <v>0</v>
      </c>
      <c r="I7" s="2" t="str">
        <f>IF(ABS(E7-H7)&lt;0.01,"PASS","FAIL")</f>
        <v>PASS</v>
      </c>
    </row>
    <row r="8" spans="1:12" x14ac:dyDescent="0.25">
      <c r="A8" s="2" t="s">
        <v>64</v>
      </c>
      <c r="B8" s="16">
        <v>30</v>
      </c>
      <c r="G8" s="17" t="s">
        <v>65</v>
      </c>
      <c r="H8" s="17" t="s">
        <v>66</v>
      </c>
      <c r="I8" s="17" t="s">
        <v>67</v>
      </c>
      <c r="J8" s="17" t="s">
        <v>68</v>
      </c>
    </row>
    <row r="9" spans="1:12" x14ac:dyDescent="0.25">
      <c r="A9" s="2" t="s">
        <v>69</v>
      </c>
      <c r="B9" s="16">
        <v>3</v>
      </c>
      <c r="D9" s="2" t="s">
        <v>70</v>
      </c>
      <c r="E9" s="11">
        <f>INDEX(J21:J50,$B$9)</f>
        <v>0</v>
      </c>
      <c r="G9" s="10">
        <v>0</v>
      </c>
      <c r="H9" s="10">
        <v>0</v>
      </c>
      <c r="I9" s="2" t="str">
        <f>IF(ABS(E9-H9)&lt;0.01,"PASS","FAIL")</f>
        <v>PASS</v>
      </c>
      <c r="J9" s="2" t="str">
        <f>IF(ABS(E9-G9)&lt;0.01,"PASS","FAIL")</f>
        <v>PASS</v>
      </c>
    </row>
    <row r="10" spans="1:12" x14ac:dyDescent="0.25">
      <c r="A10" s="2" t="s">
        <v>71</v>
      </c>
      <c r="B10" s="13">
        <v>0</v>
      </c>
      <c r="D10" s="2" t="s">
        <v>72</v>
      </c>
      <c r="E10" s="11">
        <f>INDEX(I21:I50,$B$9)</f>
        <v>37830</v>
      </c>
      <c r="G10" s="10">
        <v>37830</v>
      </c>
      <c r="H10" s="10">
        <v>37830</v>
      </c>
      <c r="I10" s="2" t="str">
        <f>IF(ABS(E10-H10)&lt;0.01,"PASS","FAIL")</f>
        <v>PASS</v>
      </c>
      <c r="J10" s="2" t="str">
        <f>IF(ABS(E10-G10)&lt;0.01,"PASS","FAIL")</f>
        <v>PASS</v>
      </c>
    </row>
    <row r="11" spans="1:12" x14ac:dyDescent="0.25">
      <c r="A11" s="2" t="s">
        <v>73</v>
      </c>
      <c r="B11" s="13">
        <v>0</v>
      </c>
      <c r="D11" s="3" t="s">
        <v>74</v>
      </c>
      <c r="E11" s="18">
        <f>INDEX(K21:K50,$B$9)</f>
        <v>37830</v>
      </c>
      <c r="G11" s="10">
        <v>37830</v>
      </c>
      <c r="H11" s="10">
        <v>37830</v>
      </c>
      <c r="I11" s="2" t="str">
        <f>IF(ABS(E11-H11)&lt;0.01,"PASS","FAIL")</f>
        <v>PASS</v>
      </c>
      <c r="J11" s="2" t="str">
        <f>IF(ABS(E11-G11)&lt;0.01,"PASS","FAIL")</f>
        <v>PASS</v>
      </c>
    </row>
    <row r="12" spans="1:12" x14ac:dyDescent="0.25">
      <c r="A12" s="2" t="s">
        <v>75</v>
      </c>
      <c r="B12" s="13">
        <v>0</v>
      </c>
      <c r="D12" s="2" t="s">
        <v>76</v>
      </c>
      <c r="E12" s="19" t="str">
        <f>IF(E11&gt;=0,"buy","rent")</f>
        <v>buy</v>
      </c>
      <c r="G12" s="20" t="s">
        <v>77</v>
      </c>
      <c r="H12" s="20" t="s">
        <v>77</v>
      </c>
      <c r="I12" s="2" t="str">
        <f>IF(E12=H12,"PASS","FAIL")</f>
        <v>PASS</v>
      </c>
      <c r="J12" s="2" t="str">
        <f>IF(E12=G12,"PASS","FAIL")</f>
        <v>PASS</v>
      </c>
    </row>
    <row r="13" spans="1:12" x14ac:dyDescent="0.25">
      <c r="A13" s="2" t="s">
        <v>78</v>
      </c>
      <c r="B13" s="13">
        <v>0</v>
      </c>
      <c r="D13" s="2" t="s">
        <v>79</v>
      </c>
      <c r="E13" s="14">
        <f>IF(COUNT(L21:L50)=0,"never",MIN(L21:L50))</f>
        <v>1</v>
      </c>
      <c r="G13" s="16">
        <v>1</v>
      </c>
      <c r="H13" s="16">
        <v>1</v>
      </c>
      <c r="I13" s="2" t="str">
        <f>IF(ABS(E13-H13)&lt;0.01,"PASS","FAIL")</f>
        <v>PASS</v>
      </c>
      <c r="J13" s="2" t="str">
        <f>IF(ABS(E13-G13)&lt;0.01,"PASS","FAIL")</f>
        <v>PASS</v>
      </c>
    </row>
    <row r="14" spans="1:12" x14ac:dyDescent="0.25">
      <c r="A14" s="2" t="s">
        <v>80</v>
      </c>
      <c r="B14" s="13">
        <v>0</v>
      </c>
      <c r="D14" s="2" t="s">
        <v>81</v>
      </c>
      <c r="E14" s="11">
        <f>($B$15+$B$10+$B$11+$B$12-$B$16)*$B$4</f>
        <v>0</v>
      </c>
      <c r="H14" s="10">
        <v>0</v>
      </c>
      <c r="I14" s="2" t="str">
        <f>IF(ABS(E14-H14)&lt;0.01,"PASS","FAIL")</f>
        <v>PASS</v>
      </c>
    </row>
    <row r="15" spans="1:12" x14ac:dyDescent="0.25">
      <c r="A15" s="2" t="s">
        <v>82</v>
      </c>
      <c r="B15" s="13">
        <v>0</v>
      </c>
      <c r="D15" s="2" t="s">
        <v>83</v>
      </c>
      <c r="E15" s="11">
        <f>12*$B$5</f>
        <v>12000</v>
      </c>
      <c r="H15" s="10">
        <v>12000</v>
      </c>
      <c r="I15" s="2" t="str">
        <f>IF(ABS(E15-H15)&lt;0.01,"PASS","FAIL")</f>
        <v>PASS</v>
      </c>
    </row>
    <row r="16" spans="1:12" x14ac:dyDescent="0.25">
      <c r="A16" s="2" t="s">
        <v>84</v>
      </c>
      <c r="B16" s="13">
        <v>0</v>
      </c>
      <c r="D16" s="2" t="s">
        <v>85</v>
      </c>
      <c r="E16" s="11">
        <f>INDEX(C21:C50,$B$9)</f>
        <v>0</v>
      </c>
      <c r="H16" s="10">
        <v>0</v>
      </c>
      <c r="I16" s="2" t="str">
        <f>IF(ABS(E16-H16)&lt;0.01,"PASS","FAIL")</f>
        <v>PASS</v>
      </c>
    </row>
    <row r="17" spans="1:12" x14ac:dyDescent="0.25">
      <c r="A17" s="2" t="s">
        <v>86</v>
      </c>
      <c r="B17" s="13">
        <v>0.05</v>
      </c>
      <c r="G17" s="5" t="s">
        <v>87</v>
      </c>
    </row>
    <row r="19" spans="1:12" x14ac:dyDescent="0.25">
      <c r="A19" s="3" t="s">
        <v>88</v>
      </c>
    </row>
    <row r="20" spans="1:12" ht="30" customHeight="1" x14ac:dyDescent="0.25">
      <c r="A20" s="21" t="s">
        <v>89</v>
      </c>
      <c r="B20" s="21" t="s">
        <v>90</v>
      </c>
      <c r="C20" s="21" t="s">
        <v>91</v>
      </c>
      <c r="D20" s="21" t="s">
        <v>92</v>
      </c>
      <c r="E20" s="21" t="s">
        <v>93</v>
      </c>
      <c r="F20" s="21" t="s">
        <v>94</v>
      </c>
      <c r="G20" s="21" t="s">
        <v>95</v>
      </c>
      <c r="H20" s="21" t="s">
        <v>96</v>
      </c>
      <c r="I20" s="21" t="s">
        <v>97</v>
      </c>
      <c r="J20" s="21" t="s">
        <v>98</v>
      </c>
      <c r="K20" s="21" t="s">
        <v>99</v>
      </c>
      <c r="L20" s="21" t="s">
        <v>100</v>
      </c>
    </row>
    <row r="21" spans="1:12" x14ac:dyDescent="0.25">
      <c r="A21" s="14">
        <v>1</v>
      </c>
      <c r="B21" s="11">
        <f t="shared" ref="B21:B50" si="0">$B$4*(1+$B$16)^A21</f>
        <v>500000</v>
      </c>
      <c r="C21" s="11">
        <f t="shared" ref="C21:C50" si="1">IF(OR($E$4=0,A21&gt;=$B$8),0,IF($E$5=0,$E$4-12*A21*$E$7,$E$4*(1+$E$5)^(12*A21)-$E$7*((1+$E$5)^(12*A21)-1)/$E$5))</f>
        <v>0</v>
      </c>
      <c r="D21" s="11">
        <f t="shared" ref="D21:D50" si="2">IF(A21&lt;=$B$8,12*$E$7,0)+($B$10+$B$11+$B$12)*$B$4*(1+$B$16)^(A21-1)</f>
        <v>0</v>
      </c>
      <c r="E21" s="11">
        <f t="shared" ref="E21:E50" si="3">D21/(1+$B$15)^A21</f>
        <v>0</v>
      </c>
      <c r="F21" s="11">
        <f>SUM($E$21:E21)</f>
        <v>0</v>
      </c>
      <c r="G21" s="11">
        <f t="shared" ref="G21:G50" si="4">12*$B$5*(1+$B$17)^(A21-1)</f>
        <v>12000</v>
      </c>
      <c r="H21" s="11">
        <f t="shared" ref="H21:H50" si="5">G21/(1+$B$15)^A21</f>
        <v>12000</v>
      </c>
      <c r="I21" s="11">
        <f>SUM($H$21:H21)</f>
        <v>12000</v>
      </c>
      <c r="J21" s="11">
        <f t="shared" ref="J21:J50" si="6">($B$6+$B$13)*$B$4+F21-(B21*(1-$B$14)-C21)/(1+$B$15)^A21</f>
        <v>0</v>
      </c>
      <c r="K21" s="11">
        <f t="shared" ref="K21:K50" si="7">I21-J21</f>
        <v>12000</v>
      </c>
      <c r="L21" s="14">
        <f t="shared" ref="L21:L50" si="8">IF(K21&gt;=0,A21,"")</f>
        <v>1</v>
      </c>
    </row>
    <row r="22" spans="1:12" x14ac:dyDescent="0.25">
      <c r="A22" s="14">
        <v>2</v>
      </c>
      <c r="B22" s="11">
        <f t="shared" si="0"/>
        <v>500000</v>
      </c>
      <c r="C22" s="11">
        <f t="shared" si="1"/>
        <v>0</v>
      </c>
      <c r="D22" s="11">
        <f t="shared" si="2"/>
        <v>0</v>
      </c>
      <c r="E22" s="11">
        <f t="shared" si="3"/>
        <v>0</v>
      </c>
      <c r="F22" s="11">
        <f>SUM($E$21:E22)</f>
        <v>0</v>
      </c>
      <c r="G22" s="11">
        <f t="shared" si="4"/>
        <v>12600</v>
      </c>
      <c r="H22" s="11">
        <f t="shared" si="5"/>
        <v>12600</v>
      </c>
      <c r="I22" s="11">
        <f>SUM($H$21:H22)</f>
        <v>24600</v>
      </c>
      <c r="J22" s="11">
        <f t="shared" si="6"/>
        <v>0</v>
      </c>
      <c r="K22" s="11">
        <f t="shared" si="7"/>
        <v>24600</v>
      </c>
      <c r="L22" s="14">
        <f t="shared" si="8"/>
        <v>2</v>
      </c>
    </row>
    <row r="23" spans="1:12" x14ac:dyDescent="0.25">
      <c r="A23" s="14">
        <v>3</v>
      </c>
      <c r="B23" s="11">
        <f t="shared" si="0"/>
        <v>500000</v>
      </c>
      <c r="C23" s="11">
        <f t="shared" si="1"/>
        <v>0</v>
      </c>
      <c r="D23" s="11">
        <f t="shared" si="2"/>
        <v>0</v>
      </c>
      <c r="E23" s="11">
        <f t="shared" si="3"/>
        <v>0</v>
      </c>
      <c r="F23" s="11">
        <f>SUM($E$21:E23)</f>
        <v>0</v>
      </c>
      <c r="G23" s="11">
        <f t="shared" si="4"/>
        <v>13230</v>
      </c>
      <c r="H23" s="11">
        <f t="shared" si="5"/>
        <v>13230</v>
      </c>
      <c r="I23" s="11">
        <f>SUM($H$21:H23)</f>
        <v>37830</v>
      </c>
      <c r="J23" s="11">
        <f t="shared" si="6"/>
        <v>0</v>
      </c>
      <c r="K23" s="11">
        <f t="shared" si="7"/>
        <v>37830</v>
      </c>
      <c r="L23" s="14">
        <f t="shared" si="8"/>
        <v>3</v>
      </c>
    </row>
    <row r="24" spans="1:12" x14ac:dyDescent="0.25">
      <c r="A24" s="14">
        <v>4</v>
      </c>
      <c r="B24" s="11">
        <f t="shared" si="0"/>
        <v>500000</v>
      </c>
      <c r="C24" s="11">
        <f t="shared" si="1"/>
        <v>0</v>
      </c>
      <c r="D24" s="11">
        <f t="shared" si="2"/>
        <v>0</v>
      </c>
      <c r="E24" s="11">
        <f t="shared" si="3"/>
        <v>0</v>
      </c>
      <c r="F24" s="11">
        <f>SUM($E$21:E24)</f>
        <v>0</v>
      </c>
      <c r="G24" s="11">
        <f t="shared" si="4"/>
        <v>13891.500000000002</v>
      </c>
      <c r="H24" s="11">
        <f t="shared" si="5"/>
        <v>13891.500000000002</v>
      </c>
      <c r="I24" s="11">
        <f>SUM($H$21:H24)</f>
        <v>51721.5</v>
      </c>
      <c r="J24" s="11">
        <f t="shared" si="6"/>
        <v>0</v>
      </c>
      <c r="K24" s="11">
        <f t="shared" si="7"/>
        <v>51721.5</v>
      </c>
      <c r="L24" s="14">
        <f t="shared" si="8"/>
        <v>4</v>
      </c>
    </row>
    <row r="25" spans="1:12" x14ac:dyDescent="0.25">
      <c r="A25" s="14">
        <v>5</v>
      </c>
      <c r="B25" s="11">
        <f t="shared" si="0"/>
        <v>500000</v>
      </c>
      <c r="C25" s="11">
        <f t="shared" si="1"/>
        <v>0</v>
      </c>
      <c r="D25" s="11">
        <f t="shared" si="2"/>
        <v>0</v>
      </c>
      <c r="E25" s="11">
        <f t="shared" si="3"/>
        <v>0</v>
      </c>
      <c r="F25" s="11">
        <f>SUM($E$21:E25)</f>
        <v>0</v>
      </c>
      <c r="G25" s="11">
        <f t="shared" si="4"/>
        <v>14586.075000000001</v>
      </c>
      <c r="H25" s="11">
        <f t="shared" si="5"/>
        <v>14586.075000000001</v>
      </c>
      <c r="I25" s="11">
        <f>SUM($H$21:H25)</f>
        <v>66307.574999999997</v>
      </c>
      <c r="J25" s="11">
        <f t="shared" si="6"/>
        <v>0</v>
      </c>
      <c r="K25" s="11">
        <f t="shared" si="7"/>
        <v>66307.574999999997</v>
      </c>
      <c r="L25" s="14">
        <f t="shared" si="8"/>
        <v>5</v>
      </c>
    </row>
    <row r="26" spans="1:12" x14ac:dyDescent="0.25">
      <c r="A26" s="14">
        <v>6</v>
      </c>
      <c r="B26" s="11">
        <f t="shared" si="0"/>
        <v>500000</v>
      </c>
      <c r="C26" s="11">
        <f t="shared" si="1"/>
        <v>0</v>
      </c>
      <c r="D26" s="11">
        <f t="shared" si="2"/>
        <v>0</v>
      </c>
      <c r="E26" s="11">
        <f t="shared" si="3"/>
        <v>0</v>
      </c>
      <c r="F26" s="11">
        <f>SUM($E$21:E26)</f>
        <v>0</v>
      </c>
      <c r="G26" s="11">
        <f t="shared" si="4"/>
        <v>15315.378750000002</v>
      </c>
      <c r="H26" s="11">
        <f t="shared" si="5"/>
        <v>15315.378750000002</v>
      </c>
      <c r="I26" s="11">
        <f>SUM($H$21:H26)</f>
        <v>81622.953750000001</v>
      </c>
      <c r="J26" s="11">
        <f t="shared" si="6"/>
        <v>0</v>
      </c>
      <c r="K26" s="11">
        <f t="shared" si="7"/>
        <v>81622.953750000001</v>
      </c>
      <c r="L26" s="14">
        <f t="shared" si="8"/>
        <v>6</v>
      </c>
    </row>
    <row r="27" spans="1:12" x14ac:dyDescent="0.25">
      <c r="A27" s="14">
        <v>7</v>
      </c>
      <c r="B27" s="11">
        <f t="shared" si="0"/>
        <v>500000</v>
      </c>
      <c r="C27" s="11">
        <f t="shared" si="1"/>
        <v>0</v>
      </c>
      <c r="D27" s="11">
        <f t="shared" si="2"/>
        <v>0</v>
      </c>
      <c r="E27" s="11">
        <f t="shared" si="3"/>
        <v>0</v>
      </c>
      <c r="F27" s="11">
        <f>SUM($E$21:E27)</f>
        <v>0</v>
      </c>
      <c r="G27" s="11">
        <f t="shared" si="4"/>
        <v>16081.147687499999</v>
      </c>
      <c r="H27" s="11">
        <f t="shared" si="5"/>
        <v>16081.147687499999</v>
      </c>
      <c r="I27" s="11">
        <f>SUM($H$21:H27)</f>
        <v>97704.101437499994</v>
      </c>
      <c r="J27" s="11">
        <f t="shared" si="6"/>
        <v>0</v>
      </c>
      <c r="K27" s="11">
        <f t="shared" si="7"/>
        <v>97704.101437499994</v>
      </c>
      <c r="L27" s="14">
        <f t="shared" si="8"/>
        <v>7</v>
      </c>
    </row>
    <row r="28" spans="1:12" x14ac:dyDescent="0.25">
      <c r="A28" s="14">
        <v>8</v>
      </c>
      <c r="B28" s="11">
        <f t="shared" si="0"/>
        <v>500000</v>
      </c>
      <c r="C28" s="11">
        <f t="shared" si="1"/>
        <v>0</v>
      </c>
      <c r="D28" s="11">
        <f t="shared" si="2"/>
        <v>0</v>
      </c>
      <c r="E28" s="11">
        <f t="shared" si="3"/>
        <v>0</v>
      </c>
      <c r="F28" s="11">
        <f>SUM($E$21:E28)</f>
        <v>0</v>
      </c>
      <c r="G28" s="11">
        <f t="shared" si="4"/>
        <v>16885.205071875003</v>
      </c>
      <c r="H28" s="11">
        <f t="shared" si="5"/>
        <v>16885.205071875003</v>
      </c>
      <c r="I28" s="11">
        <f>SUM($H$21:H28)</f>
        <v>114589.30650937499</v>
      </c>
      <c r="J28" s="11">
        <f t="shared" si="6"/>
        <v>0</v>
      </c>
      <c r="K28" s="11">
        <f t="shared" si="7"/>
        <v>114589.30650937499</v>
      </c>
      <c r="L28" s="14">
        <f t="shared" si="8"/>
        <v>8</v>
      </c>
    </row>
    <row r="29" spans="1:12" x14ac:dyDescent="0.25">
      <c r="A29" s="14">
        <v>9</v>
      </c>
      <c r="B29" s="11">
        <f t="shared" si="0"/>
        <v>500000</v>
      </c>
      <c r="C29" s="11">
        <f t="shared" si="1"/>
        <v>0</v>
      </c>
      <c r="D29" s="11">
        <f t="shared" si="2"/>
        <v>0</v>
      </c>
      <c r="E29" s="11">
        <f t="shared" si="3"/>
        <v>0</v>
      </c>
      <c r="F29" s="11">
        <f>SUM($E$21:E29)</f>
        <v>0</v>
      </c>
      <c r="G29" s="11">
        <f t="shared" si="4"/>
        <v>17729.465325468751</v>
      </c>
      <c r="H29" s="11">
        <f t="shared" si="5"/>
        <v>17729.465325468751</v>
      </c>
      <c r="I29" s="11">
        <f>SUM($H$21:H29)</f>
        <v>132318.77183484373</v>
      </c>
      <c r="J29" s="11">
        <f t="shared" si="6"/>
        <v>0</v>
      </c>
      <c r="K29" s="11">
        <f t="shared" si="7"/>
        <v>132318.77183484373</v>
      </c>
      <c r="L29" s="14">
        <f t="shared" si="8"/>
        <v>9</v>
      </c>
    </row>
    <row r="30" spans="1:12" x14ac:dyDescent="0.25">
      <c r="A30" s="14">
        <v>10</v>
      </c>
      <c r="B30" s="11">
        <f t="shared" si="0"/>
        <v>500000</v>
      </c>
      <c r="C30" s="11">
        <f t="shared" si="1"/>
        <v>0</v>
      </c>
      <c r="D30" s="11">
        <f t="shared" si="2"/>
        <v>0</v>
      </c>
      <c r="E30" s="11">
        <f t="shared" si="3"/>
        <v>0</v>
      </c>
      <c r="F30" s="11">
        <f>SUM($E$21:E30)</f>
        <v>0</v>
      </c>
      <c r="G30" s="11">
        <f t="shared" si="4"/>
        <v>18615.93859174219</v>
      </c>
      <c r="H30" s="11">
        <f t="shared" si="5"/>
        <v>18615.93859174219</v>
      </c>
      <c r="I30" s="11">
        <f>SUM($H$21:H30)</f>
        <v>150934.71042658592</v>
      </c>
      <c r="J30" s="11">
        <f t="shared" si="6"/>
        <v>0</v>
      </c>
      <c r="K30" s="11">
        <f t="shared" si="7"/>
        <v>150934.71042658592</v>
      </c>
      <c r="L30" s="14">
        <f t="shared" si="8"/>
        <v>10</v>
      </c>
    </row>
    <row r="31" spans="1:12" x14ac:dyDescent="0.25">
      <c r="A31" s="14">
        <v>11</v>
      </c>
      <c r="B31" s="11">
        <f t="shared" si="0"/>
        <v>500000</v>
      </c>
      <c r="C31" s="11">
        <f t="shared" si="1"/>
        <v>0</v>
      </c>
      <c r="D31" s="11">
        <f t="shared" si="2"/>
        <v>0</v>
      </c>
      <c r="E31" s="11">
        <f t="shared" si="3"/>
        <v>0</v>
      </c>
      <c r="F31" s="11">
        <f>SUM($E$21:E31)</f>
        <v>0</v>
      </c>
      <c r="G31" s="11">
        <f t="shared" si="4"/>
        <v>19546.735521329298</v>
      </c>
      <c r="H31" s="11">
        <f t="shared" si="5"/>
        <v>19546.735521329298</v>
      </c>
      <c r="I31" s="11">
        <f>SUM($H$21:H31)</f>
        <v>170481.44594791523</v>
      </c>
      <c r="J31" s="11">
        <f t="shared" si="6"/>
        <v>0</v>
      </c>
      <c r="K31" s="11">
        <f t="shared" si="7"/>
        <v>170481.44594791523</v>
      </c>
      <c r="L31" s="14">
        <f t="shared" si="8"/>
        <v>11</v>
      </c>
    </row>
    <row r="32" spans="1:12" x14ac:dyDescent="0.25">
      <c r="A32" s="14">
        <v>12</v>
      </c>
      <c r="B32" s="11">
        <f t="shared" si="0"/>
        <v>500000</v>
      </c>
      <c r="C32" s="11">
        <f t="shared" si="1"/>
        <v>0</v>
      </c>
      <c r="D32" s="11">
        <f t="shared" si="2"/>
        <v>0</v>
      </c>
      <c r="E32" s="11">
        <f t="shared" si="3"/>
        <v>0</v>
      </c>
      <c r="F32" s="11">
        <f>SUM($E$21:E32)</f>
        <v>0</v>
      </c>
      <c r="G32" s="11">
        <f t="shared" si="4"/>
        <v>20524.072297395764</v>
      </c>
      <c r="H32" s="11">
        <f t="shared" si="5"/>
        <v>20524.072297395764</v>
      </c>
      <c r="I32" s="11">
        <f>SUM($H$21:H32)</f>
        <v>191005.51824531099</v>
      </c>
      <c r="J32" s="11">
        <f t="shared" si="6"/>
        <v>0</v>
      </c>
      <c r="K32" s="11">
        <f t="shared" si="7"/>
        <v>191005.51824531099</v>
      </c>
      <c r="L32" s="14">
        <f t="shared" si="8"/>
        <v>12</v>
      </c>
    </row>
    <row r="33" spans="1:12" x14ac:dyDescent="0.25">
      <c r="A33" s="14">
        <v>13</v>
      </c>
      <c r="B33" s="11">
        <f t="shared" si="0"/>
        <v>500000</v>
      </c>
      <c r="C33" s="11">
        <f t="shared" si="1"/>
        <v>0</v>
      </c>
      <c r="D33" s="11">
        <f t="shared" si="2"/>
        <v>0</v>
      </c>
      <c r="E33" s="11">
        <f t="shared" si="3"/>
        <v>0</v>
      </c>
      <c r="F33" s="11">
        <f>SUM($E$21:E33)</f>
        <v>0</v>
      </c>
      <c r="G33" s="11">
        <f t="shared" si="4"/>
        <v>21550.275912265552</v>
      </c>
      <c r="H33" s="11">
        <f t="shared" si="5"/>
        <v>21550.275912265552</v>
      </c>
      <c r="I33" s="11">
        <f>SUM($H$21:H33)</f>
        <v>212555.79415757654</v>
      </c>
      <c r="J33" s="11">
        <f t="shared" si="6"/>
        <v>0</v>
      </c>
      <c r="K33" s="11">
        <f t="shared" si="7"/>
        <v>212555.79415757654</v>
      </c>
      <c r="L33" s="14">
        <f t="shared" si="8"/>
        <v>13</v>
      </c>
    </row>
    <row r="34" spans="1:12" x14ac:dyDescent="0.25">
      <c r="A34" s="14">
        <v>14</v>
      </c>
      <c r="B34" s="11">
        <f t="shared" si="0"/>
        <v>500000</v>
      </c>
      <c r="C34" s="11">
        <f t="shared" si="1"/>
        <v>0</v>
      </c>
      <c r="D34" s="11">
        <f t="shared" si="2"/>
        <v>0</v>
      </c>
      <c r="E34" s="11">
        <f t="shared" si="3"/>
        <v>0</v>
      </c>
      <c r="F34" s="11">
        <f>SUM($E$21:E34)</f>
        <v>0</v>
      </c>
      <c r="G34" s="11">
        <f t="shared" si="4"/>
        <v>22627.789707878834</v>
      </c>
      <c r="H34" s="11">
        <f t="shared" si="5"/>
        <v>22627.789707878834</v>
      </c>
      <c r="I34" s="11">
        <f>SUM($H$21:H34)</f>
        <v>235183.58386545538</v>
      </c>
      <c r="J34" s="11">
        <f t="shared" si="6"/>
        <v>0</v>
      </c>
      <c r="K34" s="11">
        <f t="shared" si="7"/>
        <v>235183.58386545538</v>
      </c>
      <c r="L34" s="14">
        <f t="shared" si="8"/>
        <v>14</v>
      </c>
    </row>
    <row r="35" spans="1:12" x14ac:dyDescent="0.25">
      <c r="A35" s="14">
        <v>15</v>
      </c>
      <c r="B35" s="11">
        <f t="shared" si="0"/>
        <v>500000</v>
      </c>
      <c r="C35" s="11">
        <f t="shared" si="1"/>
        <v>0</v>
      </c>
      <c r="D35" s="11">
        <f t="shared" si="2"/>
        <v>0</v>
      </c>
      <c r="E35" s="11">
        <f t="shared" si="3"/>
        <v>0</v>
      </c>
      <c r="F35" s="11">
        <f>SUM($E$21:E35)</f>
        <v>0</v>
      </c>
      <c r="G35" s="11">
        <f t="shared" si="4"/>
        <v>23759.179193272768</v>
      </c>
      <c r="H35" s="11">
        <f t="shared" si="5"/>
        <v>23759.179193272768</v>
      </c>
      <c r="I35" s="11">
        <f>SUM($H$21:H35)</f>
        <v>258942.76305872816</v>
      </c>
      <c r="J35" s="11">
        <f t="shared" si="6"/>
        <v>0</v>
      </c>
      <c r="K35" s="11">
        <f t="shared" si="7"/>
        <v>258942.76305872816</v>
      </c>
      <c r="L35" s="14">
        <f t="shared" si="8"/>
        <v>15</v>
      </c>
    </row>
    <row r="36" spans="1:12" x14ac:dyDescent="0.25">
      <c r="A36" s="14">
        <v>16</v>
      </c>
      <c r="B36" s="11">
        <f t="shared" si="0"/>
        <v>500000</v>
      </c>
      <c r="C36" s="11">
        <f t="shared" si="1"/>
        <v>0</v>
      </c>
      <c r="D36" s="11">
        <f t="shared" si="2"/>
        <v>0</v>
      </c>
      <c r="E36" s="11">
        <f t="shared" si="3"/>
        <v>0</v>
      </c>
      <c r="F36" s="11">
        <f>SUM($E$21:E36)</f>
        <v>0</v>
      </c>
      <c r="G36" s="11">
        <f t="shared" si="4"/>
        <v>24947.138152936415</v>
      </c>
      <c r="H36" s="11">
        <f t="shared" si="5"/>
        <v>24947.138152936415</v>
      </c>
      <c r="I36" s="11">
        <f>SUM($H$21:H36)</f>
        <v>283889.90121166455</v>
      </c>
      <c r="J36" s="11">
        <f t="shared" si="6"/>
        <v>0</v>
      </c>
      <c r="K36" s="11">
        <f t="shared" si="7"/>
        <v>283889.90121166455</v>
      </c>
      <c r="L36" s="14">
        <f t="shared" si="8"/>
        <v>16</v>
      </c>
    </row>
    <row r="37" spans="1:12" x14ac:dyDescent="0.25">
      <c r="A37" s="14">
        <v>17</v>
      </c>
      <c r="B37" s="11">
        <f t="shared" si="0"/>
        <v>500000</v>
      </c>
      <c r="C37" s="11">
        <f t="shared" si="1"/>
        <v>0</v>
      </c>
      <c r="D37" s="11">
        <f t="shared" si="2"/>
        <v>0</v>
      </c>
      <c r="E37" s="11">
        <f t="shared" si="3"/>
        <v>0</v>
      </c>
      <c r="F37" s="11">
        <f>SUM($E$21:E37)</f>
        <v>0</v>
      </c>
      <c r="G37" s="11">
        <f t="shared" si="4"/>
        <v>26194.495060583231</v>
      </c>
      <c r="H37" s="11">
        <f t="shared" si="5"/>
        <v>26194.495060583231</v>
      </c>
      <c r="I37" s="11">
        <f>SUM($H$21:H37)</f>
        <v>310084.39627224777</v>
      </c>
      <c r="J37" s="11">
        <f t="shared" si="6"/>
        <v>0</v>
      </c>
      <c r="K37" s="11">
        <f t="shared" si="7"/>
        <v>310084.39627224777</v>
      </c>
      <c r="L37" s="14">
        <f t="shared" si="8"/>
        <v>17</v>
      </c>
    </row>
    <row r="38" spans="1:12" x14ac:dyDescent="0.25">
      <c r="A38" s="14">
        <v>18</v>
      </c>
      <c r="B38" s="11">
        <f t="shared" si="0"/>
        <v>500000</v>
      </c>
      <c r="C38" s="11">
        <f t="shared" si="1"/>
        <v>0</v>
      </c>
      <c r="D38" s="11">
        <f t="shared" si="2"/>
        <v>0</v>
      </c>
      <c r="E38" s="11">
        <f t="shared" si="3"/>
        <v>0</v>
      </c>
      <c r="F38" s="11">
        <f>SUM($E$21:E38)</f>
        <v>0</v>
      </c>
      <c r="G38" s="11">
        <f t="shared" si="4"/>
        <v>27504.219813612399</v>
      </c>
      <c r="H38" s="11">
        <f t="shared" si="5"/>
        <v>27504.219813612399</v>
      </c>
      <c r="I38" s="11">
        <f>SUM($H$21:H38)</f>
        <v>337588.61608586018</v>
      </c>
      <c r="J38" s="11">
        <f t="shared" si="6"/>
        <v>0</v>
      </c>
      <c r="K38" s="11">
        <f t="shared" si="7"/>
        <v>337588.61608586018</v>
      </c>
      <c r="L38" s="14">
        <f t="shared" si="8"/>
        <v>18</v>
      </c>
    </row>
    <row r="39" spans="1:12" x14ac:dyDescent="0.25">
      <c r="A39" s="14">
        <v>19</v>
      </c>
      <c r="B39" s="11">
        <f t="shared" si="0"/>
        <v>500000</v>
      </c>
      <c r="C39" s="11">
        <f t="shared" si="1"/>
        <v>0</v>
      </c>
      <c r="D39" s="11">
        <f t="shared" si="2"/>
        <v>0</v>
      </c>
      <c r="E39" s="11">
        <f t="shared" si="3"/>
        <v>0</v>
      </c>
      <c r="F39" s="11">
        <f>SUM($E$21:E39)</f>
        <v>0</v>
      </c>
      <c r="G39" s="11">
        <f t="shared" si="4"/>
        <v>28879.430804293017</v>
      </c>
      <c r="H39" s="11">
        <f t="shared" si="5"/>
        <v>28879.430804293017</v>
      </c>
      <c r="I39" s="11">
        <f>SUM($H$21:H39)</f>
        <v>366468.0468901532</v>
      </c>
      <c r="J39" s="11">
        <f t="shared" si="6"/>
        <v>0</v>
      </c>
      <c r="K39" s="11">
        <f t="shared" si="7"/>
        <v>366468.0468901532</v>
      </c>
      <c r="L39" s="14">
        <f t="shared" si="8"/>
        <v>19</v>
      </c>
    </row>
    <row r="40" spans="1:12" x14ac:dyDescent="0.25">
      <c r="A40" s="14">
        <v>20</v>
      </c>
      <c r="B40" s="11">
        <f t="shared" si="0"/>
        <v>500000</v>
      </c>
      <c r="C40" s="11">
        <f t="shared" si="1"/>
        <v>0</v>
      </c>
      <c r="D40" s="11">
        <f t="shared" si="2"/>
        <v>0</v>
      </c>
      <c r="E40" s="11">
        <f t="shared" si="3"/>
        <v>0</v>
      </c>
      <c r="F40" s="11">
        <f>SUM($E$21:E40)</f>
        <v>0</v>
      </c>
      <c r="G40" s="11">
        <f t="shared" si="4"/>
        <v>30323.402344507667</v>
      </c>
      <c r="H40" s="11">
        <f t="shared" si="5"/>
        <v>30323.402344507667</v>
      </c>
      <c r="I40" s="11">
        <f>SUM($H$21:H40)</f>
        <v>396791.44923466089</v>
      </c>
      <c r="J40" s="11">
        <f t="shared" si="6"/>
        <v>0</v>
      </c>
      <c r="K40" s="11">
        <f t="shared" si="7"/>
        <v>396791.44923466089</v>
      </c>
      <c r="L40" s="14">
        <f t="shared" si="8"/>
        <v>20</v>
      </c>
    </row>
    <row r="41" spans="1:12" x14ac:dyDescent="0.25">
      <c r="A41" s="14">
        <v>21</v>
      </c>
      <c r="B41" s="11">
        <f t="shared" si="0"/>
        <v>500000</v>
      </c>
      <c r="C41" s="11">
        <f t="shared" si="1"/>
        <v>0</v>
      </c>
      <c r="D41" s="11">
        <f t="shared" si="2"/>
        <v>0</v>
      </c>
      <c r="E41" s="11">
        <f t="shared" si="3"/>
        <v>0</v>
      </c>
      <c r="F41" s="11">
        <f>SUM($E$21:E41)</f>
        <v>0</v>
      </c>
      <c r="G41" s="11">
        <f t="shared" si="4"/>
        <v>31839.572461733049</v>
      </c>
      <c r="H41" s="11">
        <f t="shared" si="5"/>
        <v>31839.572461733049</v>
      </c>
      <c r="I41" s="11">
        <f>SUM($H$21:H41)</f>
        <v>428631.02169639396</v>
      </c>
      <c r="J41" s="11">
        <f t="shared" si="6"/>
        <v>0</v>
      </c>
      <c r="K41" s="11">
        <f t="shared" si="7"/>
        <v>428631.02169639396</v>
      </c>
      <c r="L41" s="14">
        <f t="shared" si="8"/>
        <v>21</v>
      </c>
    </row>
    <row r="42" spans="1:12" x14ac:dyDescent="0.25">
      <c r="A42" s="14">
        <v>22</v>
      </c>
      <c r="B42" s="11">
        <f t="shared" si="0"/>
        <v>500000</v>
      </c>
      <c r="C42" s="11">
        <f t="shared" si="1"/>
        <v>0</v>
      </c>
      <c r="D42" s="11">
        <f t="shared" si="2"/>
        <v>0</v>
      </c>
      <c r="E42" s="11">
        <f t="shared" si="3"/>
        <v>0</v>
      </c>
      <c r="F42" s="11">
        <f>SUM($E$21:E42)</f>
        <v>0</v>
      </c>
      <c r="G42" s="11">
        <f t="shared" si="4"/>
        <v>33431.551084819701</v>
      </c>
      <c r="H42" s="11">
        <f t="shared" si="5"/>
        <v>33431.551084819701</v>
      </c>
      <c r="I42" s="11">
        <f>SUM($H$21:H42)</f>
        <v>462062.57278121368</v>
      </c>
      <c r="J42" s="11">
        <f t="shared" si="6"/>
        <v>0</v>
      </c>
      <c r="K42" s="11">
        <f t="shared" si="7"/>
        <v>462062.57278121368</v>
      </c>
      <c r="L42" s="14">
        <f t="shared" si="8"/>
        <v>22</v>
      </c>
    </row>
    <row r="43" spans="1:12" x14ac:dyDescent="0.25">
      <c r="A43" s="14">
        <v>23</v>
      </c>
      <c r="B43" s="11">
        <f t="shared" si="0"/>
        <v>500000</v>
      </c>
      <c r="C43" s="11">
        <f t="shared" si="1"/>
        <v>0</v>
      </c>
      <c r="D43" s="11">
        <f t="shared" si="2"/>
        <v>0</v>
      </c>
      <c r="E43" s="11">
        <f t="shared" si="3"/>
        <v>0</v>
      </c>
      <c r="F43" s="11">
        <f>SUM($E$21:E43)</f>
        <v>0</v>
      </c>
      <c r="G43" s="11">
        <f t="shared" si="4"/>
        <v>35103.128639060684</v>
      </c>
      <c r="H43" s="11">
        <f t="shared" si="5"/>
        <v>35103.128639060684</v>
      </c>
      <c r="I43" s="11">
        <f>SUM($H$21:H43)</f>
        <v>497165.70142027433</v>
      </c>
      <c r="J43" s="11">
        <f t="shared" si="6"/>
        <v>0</v>
      </c>
      <c r="K43" s="11">
        <f t="shared" si="7"/>
        <v>497165.70142027433</v>
      </c>
      <c r="L43" s="14">
        <f t="shared" si="8"/>
        <v>23</v>
      </c>
    </row>
    <row r="44" spans="1:12" x14ac:dyDescent="0.25">
      <c r="A44" s="14">
        <v>24</v>
      </c>
      <c r="B44" s="11">
        <f t="shared" si="0"/>
        <v>500000</v>
      </c>
      <c r="C44" s="11">
        <f t="shared" si="1"/>
        <v>0</v>
      </c>
      <c r="D44" s="11">
        <f t="shared" si="2"/>
        <v>0</v>
      </c>
      <c r="E44" s="11">
        <f t="shared" si="3"/>
        <v>0</v>
      </c>
      <c r="F44" s="11">
        <f>SUM($E$21:E44)</f>
        <v>0</v>
      </c>
      <c r="G44" s="11">
        <f t="shared" si="4"/>
        <v>36858.285071013728</v>
      </c>
      <c r="H44" s="11">
        <f t="shared" si="5"/>
        <v>36858.285071013728</v>
      </c>
      <c r="I44" s="11">
        <f>SUM($H$21:H44)</f>
        <v>534023.98649128806</v>
      </c>
      <c r="J44" s="11">
        <f t="shared" si="6"/>
        <v>0</v>
      </c>
      <c r="K44" s="11">
        <f t="shared" si="7"/>
        <v>534023.98649128806</v>
      </c>
      <c r="L44" s="14">
        <f t="shared" si="8"/>
        <v>24</v>
      </c>
    </row>
    <row r="45" spans="1:12" x14ac:dyDescent="0.25">
      <c r="A45" s="14">
        <v>25</v>
      </c>
      <c r="B45" s="11">
        <f t="shared" si="0"/>
        <v>500000</v>
      </c>
      <c r="C45" s="11">
        <f t="shared" si="1"/>
        <v>0</v>
      </c>
      <c r="D45" s="11">
        <f t="shared" si="2"/>
        <v>0</v>
      </c>
      <c r="E45" s="11">
        <f t="shared" si="3"/>
        <v>0</v>
      </c>
      <c r="F45" s="11">
        <f>SUM($E$21:E45)</f>
        <v>0</v>
      </c>
      <c r="G45" s="11">
        <f t="shared" si="4"/>
        <v>38701.199324564412</v>
      </c>
      <c r="H45" s="11">
        <f t="shared" si="5"/>
        <v>38701.199324564412</v>
      </c>
      <c r="I45" s="11">
        <f>SUM($H$21:H45)</f>
        <v>572725.18581585248</v>
      </c>
      <c r="J45" s="11">
        <f t="shared" si="6"/>
        <v>0</v>
      </c>
      <c r="K45" s="11">
        <f t="shared" si="7"/>
        <v>572725.18581585248</v>
      </c>
      <c r="L45" s="14">
        <f t="shared" si="8"/>
        <v>25</v>
      </c>
    </row>
    <row r="46" spans="1:12" x14ac:dyDescent="0.25">
      <c r="A46" s="14">
        <v>26</v>
      </c>
      <c r="B46" s="11">
        <f t="shared" si="0"/>
        <v>500000</v>
      </c>
      <c r="C46" s="11">
        <f t="shared" si="1"/>
        <v>0</v>
      </c>
      <c r="D46" s="11">
        <f t="shared" si="2"/>
        <v>0</v>
      </c>
      <c r="E46" s="11">
        <f t="shared" si="3"/>
        <v>0</v>
      </c>
      <c r="F46" s="11">
        <f>SUM($E$21:E46)</f>
        <v>0</v>
      </c>
      <c r="G46" s="11">
        <f t="shared" si="4"/>
        <v>40636.25929079263</v>
      </c>
      <c r="H46" s="11">
        <f t="shared" si="5"/>
        <v>40636.25929079263</v>
      </c>
      <c r="I46" s="11">
        <f>SUM($H$21:H46)</f>
        <v>613361.44510664511</v>
      </c>
      <c r="J46" s="11">
        <f t="shared" si="6"/>
        <v>0</v>
      </c>
      <c r="K46" s="11">
        <f t="shared" si="7"/>
        <v>613361.44510664511</v>
      </c>
      <c r="L46" s="14">
        <f t="shared" si="8"/>
        <v>26</v>
      </c>
    </row>
    <row r="47" spans="1:12" x14ac:dyDescent="0.25">
      <c r="A47" s="14">
        <v>27</v>
      </c>
      <c r="B47" s="11">
        <f t="shared" si="0"/>
        <v>500000</v>
      </c>
      <c r="C47" s="11">
        <f t="shared" si="1"/>
        <v>0</v>
      </c>
      <c r="D47" s="11">
        <f t="shared" si="2"/>
        <v>0</v>
      </c>
      <c r="E47" s="11">
        <f t="shared" si="3"/>
        <v>0</v>
      </c>
      <c r="F47" s="11">
        <f>SUM($E$21:E47)</f>
        <v>0</v>
      </c>
      <c r="G47" s="11">
        <f t="shared" si="4"/>
        <v>42668.072255332263</v>
      </c>
      <c r="H47" s="11">
        <f t="shared" si="5"/>
        <v>42668.072255332263</v>
      </c>
      <c r="I47" s="11">
        <f>SUM($H$21:H47)</f>
        <v>656029.51736197737</v>
      </c>
      <c r="J47" s="11">
        <f t="shared" si="6"/>
        <v>0</v>
      </c>
      <c r="K47" s="11">
        <f t="shared" si="7"/>
        <v>656029.51736197737</v>
      </c>
      <c r="L47" s="14">
        <f t="shared" si="8"/>
        <v>27</v>
      </c>
    </row>
    <row r="48" spans="1:12" x14ac:dyDescent="0.25">
      <c r="A48" s="14">
        <v>28</v>
      </c>
      <c r="B48" s="11">
        <f t="shared" si="0"/>
        <v>500000</v>
      </c>
      <c r="C48" s="11">
        <f t="shared" si="1"/>
        <v>0</v>
      </c>
      <c r="D48" s="11">
        <f t="shared" si="2"/>
        <v>0</v>
      </c>
      <c r="E48" s="11">
        <f t="shared" si="3"/>
        <v>0</v>
      </c>
      <c r="F48" s="11">
        <f>SUM($E$21:E48)</f>
        <v>0</v>
      </c>
      <c r="G48" s="11">
        <f t="shared" si="4"/>
        <v>44801.475868098882</v>
      </c>
      <c r="H48" s="11">
        <f t="shared" si="5"/>
        <v>44801.475868098882</v>
      </c>
      <c r="I48" s="11">
        <f>SUM($H$21:H48)</f>
        <v>700830.99323007627</v>
      </c>
      <c r="J48" s="11">
        <f t="shared" si="6"/>
        <v>0</v>
      </c>
      <c r="K48" s="11">
        <f t="shared" si="7"/>
        <v>700830.99323007627</v>
      </c>
      <c r="L48" s="14">
        <f t="shared" si="8"/>
        <v>28</v>
      </c>
    </row>
    <row r="49" spans="1:12" x14ac:dyDescent="0.25">
      <c r="A49" s="14">
        <v>29</v>
      </c>
      <c r="B49" s="11">
        <f t="shared" si="0"/>
        <v>500000</v>
      </c>
      <c r="C49" s="11">
        <f t="shared" si="1"/>
        <v>0</v>
      </c>
      <c r="D49" s="11">
        <f t="shared" si="2"/>
        <v>0</v>
      </c>
      <c r="E49" s="11">
        <f t="shared" si="3"/>
        <v>0</v>
      </c>
      <c r="F49" s="11">
        <f>SUM($E$21:E49)</f>
        <v>0</v>
      </c>
      <c r="G49" s="11">
        <f t="shared" si="4"/>
        <v>47041.549661503814</v>
      </c>
      <c r="H49" s="11">
        <f t="shared" si="5"/>
        <v>47041.549661503814</v>
      </c>
      <c r="I49" s="11">
        <f>SUM($H$21:H49)</f>
        <v>747872.54289158015</v>
      </c>
      <c r="J49" s="11">
        <f t="shared" si="6"/>
        <v>0</v>
      </c>
      <c r="K49" s="11">
        <f t="shared" si="7"/>
        <v>747872.54289158015</v>
      </c>
      <c r="L49" s="14">
        <f t="shared" si="8"/>
        <v>29</v>
      </c>
    </row>
    <row r="50" spans="1:12" x14ac:dyDescent="0.25">
      <c r="A50" s="14">
        <v>30</v>
      </c>
      <c r="B50" s="11">
        <f t="shared" si="0"/>
        <v>500000</v>
      </c>
      <c r="C50" s="11">
        <f t="shared" si="1"/>
        <v>0</v>
      </c>
      <c r="D50" s="11">
        <f t="shared" si="2"/>
        <v>0</v>
      </c>
      <c r="E50" s="11">
        <f t="shared" si="3"/>
        <v>0</v>
      </c>
      <c r="F50" s="11">
        <f>SUM($E$21:E50)</f>
        <v>0</v>
      </c>
      <c r="G50" s="11">
        <f t="shared" si="4"/>
        <v>49393.627144579019</v>
      </c>
      <c r="H50" s="11">
        <f t="shared" si="5"/>
        <v>49393.627144579019</v>
      </c>
      <c r="I50" s="11">
        <f>SUM($H$21:H50)</f>
        <v>797266.17003615922</v>
      </c>
      <c r="J50" s="11">
        <f t="shared" si="6"/>
        <v>0</v>
      </c>
      <c r="K50" s="11">
        <f t="shared" si="7"/>
        <v>797266.17003615922</v>
      </c>
      <c r="L50" s="14">
        <f t="shared" si="8"/>
        <v>30</v>
      </c>
    </row>
  </sheetData>
  <mergeCells count="1">
    <mergeCell ref="A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0"/>
  <sheetViews>
    <sheetView workbookViewId="0">
      <pane ySplit="20" topLeftCell="A21" activePane="bottomLeft" state="frozen"/>
      <selection pane="bottomLeft"/>
    </sheetView>
  </sheetViews>
  <sheetFormatPr defaultRowHeight="15" x14ac:dyDescent="0.25"/>
  <cols>
    <col min="1" max="1" width="27" customWidth="1"/>
    <col min="2" max="3" width="15" customWidth="1"/>
    <col min="4" max="4" width="30" customWidth="1"/>
    <col min="5" max="5" width="17" customWidth="1"/>
    <col min="6" max="6" width="15" customWidth="1"/>
    <col min="7" max="7" width="17" customWidth="1"/>
    <col min="8" max="10" width="15" customWidth="1"/>
    <col min="11" max="11" width="17" customWidth="1"/>
    <col min="12" max="12" width="11" customWidth="1"/>
  </cols>
  <sheetData>
    <row r="1" spans="1:12" ht="16.5" x14ac:dyDescent="0.25">
      <c r="A1" s="1" t="s">
        <v>111</v>
      </c>
    </row>
    <row r="2" spans="1:12" ht="48" customHeight="1" x14ac:dyDescent="0.25">
      <c r="A2" s="22" t="s">
        <v>112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t="s">
        <v>54</v>
      </c>
      <c r="D3" t="s">
        <v>55</v>
      </c>
    </row>
    <row r="4" spans="1:12" x14ac:dyDescent="0.25">
      <c r="A4" s="2" t="s">
        <v>56</v>
      </c>
      <c r="B4" s="10">
        <v>300000</v>
      </c>
      <c r="D4" s="2" t="s">
        <v>57</v>
      </c>
      <c r="E4" s="11">
        <f>(1-$B$6)*$B$4</f>
        <v>240000</v>
      </c>
    </row>
    <row r="5" spans="1:12" x14ac:dyDescent="0.25">
      <c r="A5" s="2" t="s">
        <v>58</v>
      </c>
      <c r="B5" s="10">
        <v>1500</v>
      </c>
      <c r="D5" s="2" t="s">
        <v>59</v>
      </c>
      <c r="E5" s="12">
        <f>$B$7/12</f>
        <v>5.0000000000000001E-3</v>
      </c>
    </row>
    <row r="6" spans="1:12" x14ac:dyDescent="0.25">
      <c r="A6" s="2" t="s">
        <v>60</v>
      </c>
      <c r="B6" s="13">
        <v>0.2</v>
      </c>
      <c r="D6" s="2" t="s">
        <v>61</v>
      </c>
      <c r="E6" s="14">
        <f>12*$B$8</f>
        <v>360</v>
      </c>
    </row>
    <row r="7" spans="1:12" x14ac:dyDescent="0.25">
      <c r="A7" s="2" t="s">
        <v>62</v>
      </c>
      <c r="B7" s="15">
        <v>0.06</v>
      </c>
      <c r="D7" s="2" t="s">
        <v>63</v>
      </c>
      <c r="E7" s="11">
        <f>IF($E$4=0,0,IF($E$5=0,$E$4/$E$6,$E$4*$E$5*(1+$E$5)^$E$6/((1+$E$5)^$E$6-1)))</f>
        <v>1438.9212603666213</v>
      </c>
      <c r="G7" s="10">
        <v>1438.92</v>
      </c>
      <c r="H7" s="10">
        <v>1438.9212603666169</v>
      </c>
      <c r="I7" s="2" t="str">
        <f>IF(ABS(E7-H7)&lt;0.01,"PASS","FAIL")</f>
        <v>PASS</v>
      </c>
      <c r="J7" s="2" t="str">
        <f>IF(ABS(E7-G7)&lt;0.01,"PASS","FAIL")</f>
        <v>PASS</v>
      </c>
    </row>
    <row r="8" spans="1:12" x14ac:dyDescent="0.25">
      <c r="A8" s="2" t="s">
        <v>64</v>
      </c>
      <c r="B8" s="16">
        <v>30</v>
      </c>
      <c r="G8" s="17" t="s">
        <v>65</v>
      </c>
      <c r="H8" s="17" t="s">
        <v>66</v>
      </c>
      <c r="I8" s="17" t="s">
        <v>67</v>
      </c>
      <c r="J8" s="17" t="s">
        <v>68</v>
      </c>
    </row>
    <row r="9" spans="1:12" x14ac:dyDescent="0.25">
      <c r="A9" s="2" t="s">
        <v>69</v>
      </c>
      <c r="B9" s="16">
        <v>7</v>
      </c>
      <c r="D9" s="2" t="s">
        <v>70</v>
      </c>
      <c r="E9" s="11">
        <f>INDEX(J21:J50,$B$9)</f>
        <v>119722.01325979533</v>
      </c>
      <c r="H9" s="10">
        <v>119722.0132597951</v>
      </c>
      <c r="I9" s="2" t="str">
        <f>IF(ABS(E9-H9)&lt;0.01,"PASS","FAIL")</f>
        <v>PASS</v>
      </c>
    </row>
    <row r="10" spans="1:12" x14ac:dyDescent="0.25">
      <c r="A10" s="2" t="s">
        <v>71</v>
      </c>
      <c r="B10" s="13">
        <v>0.01</v>
      </c>
      <c r="D10" s="2" t="s">
        <v>72</v>
      </c>
      <c r="E10" s="11">
        <f>INDEX(I21:I50,$B$9)</f>
        <v>113356.44488482131</v>
      </c>
      <c r="H10" s="10">
        <v>113356.44488482131</v>
      </c>
      <c r="I10" s="2" t="str">
        <f>IF(ABS(E10-H10)&lt;0.01,"PASS","FAIL")</f>
        <v>PASS</v>
      </c>
    </row>
    <row r="11" spans="1:12" x14ac:dyDescent="0.25">
      <c r="A11" s="2" t="s">
        <v>73</v>
      </c>
      <c r="B11" s="13">
        <v>0.01</v>
      </c>
      <c r="D11" s="3" t="s">
        <v>74</v>
      </c>
      <c r="E11" s="18">
        <f>INDEX(K21:K50,$B$9)</f>
        <v>-6365.5683749740274</v>
      </c>
      <c r="H11" s="10">
        <v>-6365.5683749737946</v>
      </c>
      <c r="I11" s="2" t="str">
        <f>IF(ABS(E11-H11)&lt;0.01,"PASS","FAIL")</f>
        <v>PASS</v>
      </c>
    </row>
    <row r="12" spans="1:12" x14ac:dyDescent="0.25">
      <c r="A12" s="2" t="s">
        <v>75</v>
      </c>
      <c r="B12" s="13">
        <v>3.5000000000000001E-3</v>
      </c>
      <c r="D12" s="2" t="s">
        <v>76</v>
      </c>
      <c r="E12" s="19" t="str">
        <f>IF(E11&gt;=0,"buy","rent")</f>
        <v>rent</v>
      </c>
      <c r="H12" s="20" t="s">
        <v>113</v>
      </c>
      <c r="I12" s="2" t="str">
        <f>IF(E12=H12,"PASS","FAIL")</f>
        <v>PASS</v>
      </c>
    </row>
    <row r="13" spans="1:12" x14ac:dyDescent="0.25">
      <c r="A13" s="2" t="s">
        <v>78</v>
      </c>
      <c r="B13" s="13">
        <v>0.03</v>
      </c>
      <c r="D13" s="2" t="s">
        <v>79</v>
      </c>
      <c r="E13" s="14">
        <f>IF(COUNT(L21:L50)=0,"never",MIN(L21:L50))</f>
        <v>10</v>
      </c>
      <c r="H13" s="16">
        <v>10</v>
      </c>
      <c r="I13" s="2" t="str">
        <f>IF(ABS(E13-H13)&lt;0.01,"PASS","FAIL")</f>
        <v>PASS</v>
      </c>
    </row>
    <row r="14" spans="1:12" x14ac:dyDescent="0.25">
      <c r="A14" s="2" t="s">
        <v>80</v>
      </c>
      <c r="B14" s="13">
        <v>0.06</v>
      </c>
      <c r="D14" s="2" t="s">
        <v>81</v>
      </c>
      <c r="E14" s="11">
        <f>($B$15+$B$10+$B$11+$B$12-$B$16)*$B$4</f>
        <v>13050.000000000004</v>
      </c>
      <c r="H14" s="10">
        <v>13050</v>
      </c>
      <c r="I14" s="2" t="str">
        <f>IF(ABS(E14-H14)&lt;0.01,"PASS","FAIL")</f>
        <v>PASS</v>
      </c>
    </row>
    <row r="15" spans="1:12" x14ac:dyDescent="0.25">
      <c r="A15" s="2" t="s">
        <v>82</v>
      </c>
      <c r="B15" s="13">
        <v>0.05</v>
      </c>
      <c r="D15" s="2" t="s">
        <v>83</v>
      </c>
      <c r="E15" s="11">
        <f>12*$B$5</f>
        <v>18000</v>
      </c>
      <c r="H15" s="10">
        <v>18000</v>
      </c>
      <c r="I15" s="2" t="str">
        <f>IF(ABS(E15-H15)&lt;0.01,"PASS","FAIL")</f>
        <v>PASS</v>
      </c>
    </row>
    <row r="16" spans="1:12" x14ac:dyDescent="0.25">
      <c r="A16" s="2" t="s">
        <v>84</v>
      </c>
      <c r="B16" s="13">
        <v>0.03</v>
      </c>
      <c r="D16" s="2" t="s">
        <v>85</v>
      </c>
      <c r="E16" s="11">
        <f>INDEX(C21:C50,$B$9)</f>
        <v>215134.52613815005</v>
      </c>
      <c r="H16" s="10">
        <v>215134.52613815019</v>
      </c>
      <c r="I16" s="2" t="str">
        <f>IF(ABS(E16-H16)&lt;0.01,"PASS","FAIL")</f>
        <v>PASS</v>
      </c>
    </row>
    <row r="17" spans="1:12" x14ac:dyDescent="0.25">
      <c r="A17" s="2" t="s">
        <v>86</v>
      </c>
      <c r="B17" s="13">
        <v>0.03</v>
      </c>
      <c r="G17" s="5" t="s">
        <v>87</v>
      </c>
    </row>
    <row r="19" spans="1:12" x14ac:dyDescent="0.25">
      <c r="A19" s="3" t="s">
        <v>88</v>
      </c>
    </row>
    <row r="20" spans="1:12" ht="30" customHeight="1" x14ac:dyDescent="0.25">
      <c r="A20" s="21" t="s">
        <v>89</v>
      </c>
      <c r="B20" s="21" t="s">
        <v>90</v>
      </c>
      <c r="C20" s="21" t="s">
        <v>91</v>
      </c>
      <c r="D20" s="21" t="s">
        <v>92</v>
      </c>
      <c r="E20" s="21" t="s">
        <v>93</v>
      </c>
      <c r="F20" s="21" t="s">
        <v>94</v>
      </c>
      <c r="G20" s="21" t="s">
        <v>95</v>
      </c>
      <c r="H20" s="21" t="s">
        <v>96</v>
      </c>
      <c r="I20" s="21" t="s">
        <v>97</v>
      </c>
      <c r="J20" s="21" t="s">
        <v>98</v>
      </c>
      <c r="K20" s="21" t="s">
        <v>99</v>
      </c>
      <c r="L20" s="21" t="s">
        <v>100</v>
      </c>
    </row>
    <row r="21" spans="1:12" x14ac:dyDescent="0.25">
      <c r="A21" s="14">
        <v>1</v>
      </c>
      <c r="B21" s="11">
        <f t="shared" ref="B21:B50" si="0">$B$4*(1+$B$16)^A21</f>
        <v>309000</v>
      </c>
      <c r="C21" s="11">
        <f t="shared" ref="C21:C50" si="1">IF(OR($E$4=0,A21&gt;=$B$8),0,IF($E$5=0,$E$4-12*A21*$E$7,$E$4*(1+$E$5)^(12*A21)-$E$7*((1+$E$5)^(12*A21)-1)/$E$5))</f>
        <v>237052.77189053578</v>
      </c>
      <c r="D21" s="11">
        <f t="shared" ref="D21:D50" si="2">IF(A21&lt;=$B$8,12*$E$7,0)+($B$10+$B$11+$B$12)*$B$4*(1+$B$16)^(A21-1)</f>
        <v>24317.055124399456</v>
      </c>
      <c r="E21" s="11">
        <f t="shared" ref="E21:E50" si="3">D21/(1+$B$15)^A21</f>
        <v>23159.100118475671</v>
      </c>
      <c r="F21" s="11">
        <f>SUM($E$21:E21)</f>
        <v>23159.100118475671</v>
      </c>
      <c r="G21" s="11">
        <f t="shared" ref="G21:G50" si="4">12*$B$5*(1+$B$17)^(A21-1)</f>
        <v>18000</v>
      </c>
      <c r="H21" s="11">
        <f t="shared" ref="H21:H50" si="5">G21/(1+$B$15)^A21</f>
        <v>17142.857142857141</v>
      </c>
      <c r="I21" s="11">
        <f>SUM($H$21:H21)</f>
        <v>17142.857142857141</v>
      </c>
      <c r="J21" s="11">
        <f t="shared" ref="J21:J50" si="6">($B$6+$B$13)*$B$4+F21-(B21*(1-$B$14)-C21)/(1+$B$15)^A21</f>
        <v>41295.073347557365</v>
      </c>
      <c r="K21" s="11">
        <f t="shared" ref="K21:K50" si="7">I21-J21</f>
        <v>-24152.216204700224</v>
      </c>
      <c r="L21" s="14" t="str">
        <f t="shared" ref="L21:L50" si="8">IF(K21&gt;=0,A21,"")</f>
        <v/>
      </c>
    </row>
    <row r="22" spans="1:12" x14ac:dyDescent="0.25">
      <c r="A22" s="14">
        <v>2</v>
      </c>
      <c r="B22" s="11">
        <f t="shared" si="0"/>
        <v>318270</v>
      </c>
      <c r="C22" s="11">
        <f t="shared" si="1"/>
        <v>233923.76520021429</v>
      </c>
      <c r="D22" s="11">
        <f t="shared" si="2"/>
        <v>24528.555124399456</v>
      </c>
      <c r="E22" s="11">
        <f t="shared" si="3"/>
        <v>22248.122561813565</v>
      </c>
      <c r="F22" s="11">
        <f>SUM($E$21:E22)</f>
        <v>45407.22268028924</v>
      </c>
      <c r="G22" s="11">
        <f t="shared" si="4"/>
        <v>18540</v>
      </c>
      <c r="H22" s="11">
        <f t="shared" si="5"/>
        <v>16816.326530612245</v>
      </c>
      <c r="I22" s="11">
        <f>SUM($H$21:H22)</f>
        <v>33959.183673469386</v>
      </c>
      <c r="J22" s="11">
        <f t="shared" si="6"/>
        <v>55223.517646470013</v>
      </c>
      <c r="K22" s="11">
        <f t="shared" si="7"/>
        <v>-21264.333973000626</v>
      </c>
      <c r="L22" s="14" t="str">
        <f t="shared" si="8"/>
        <v/>
      </c>
    </row>
    <row r="23" spans="1:12" x14ac:dyDescent="0.25">
      <c r="A23" s="14">
        <v>3</v>
      </c>
      <c r="B23" s="11">
        <f t="shared" si="0"/>
        <v>327818.09999999998</v>
      </c>
      <c r="C23" s="11">
        <f t="shared" si="1"/>
        <v>230601.76822392436</v>
      </c>
      <c r="D23" s="11">
        <f t="shared" si="2"/>
        <v>24746.400124399457</v>
      </c>
      <c r="E23" s="11">
        <f t="shared" si="3"/>
        <v>21376.870855760244</v>
      </c>
      <c r="F23" s="11">
        <f>SUM($E$21:E23)</f>
        <v>66784.093536049477</v>
      </c>
      <c r="G23" s="11">
        <f t="shared" si="4"/>
        <v>19096.2</v>
      </c>
      <c r="H23" s="11">
        <f t="shared" si="5"/>
        <v>16496.015549076772</v>
      </c>
      <c r="I23" s="11">
        <f>SUM($H$21:H23)</f>
        <v>50455.199222546158</v>
      </c>
      <c r="J23" s="11">
        <f t="shared" si="6"/>
        <v>68795.866972114178</v>
      </c>
      <c r="K23" s="11">
        <f t="shared" si="7"/>
        <v>-18340.66774956802</v>
      </c>
      <c r="L23" s="14" t="str">
        <f t="shared" si="8"/>
        <v/>
      </c>
    </row>
    <row r="24" spans="1:12" x14ac:dyDescent="0.25">
      <c r="A24" s="14">
        <v>4</v>
      </c>
      <c r="B24" s="11">
        <f t="shared" si="0"/>
        <v>337652.64299999998</v>
      </c>
      <c r="C24" s="11">
        <f t="shared" si="1"/>
        <v>227074.87774311638</v>
      </c>
      <c r="D24" s="11">
        <f t="shared" si="2"/>
        <v>24970.780474399457</v>
      </c>
      <c r="E24" s="11">
        <f t="shared" si="3"/>
        <v>20543.522893773239</v>
      </c>
      <c r="F24" s="11">
        <f>SUM($E$21:E24)</f>
        <v>87327.616429822723</v>
      </c>
      <c r="G24" s="11">
        <f t="shared" si="4"/>
        <v>19669.085999999999</v>
      </c>
      <c r="H24" s="11">
        <f t="shared" si="5"/>
        <v>16181.805729094358</v>
      </c>
      <c r="I24" s="11">
        <f>SUM($H$21:H24)</f>
        <v>66637.004951640512</v>
      </c>
      <c r="J24" s="11">
        <f t="shared" si="6"/>
        <v>82022.275196995979</v>
      </c>
      <c r="K24" s="11">
        <f t="shared" si="7"/>
        <v>-15385.270245355467</v>
      </c>
      <c r="L24" s="14" t="str">
        <f t="shared" si="8"/>
        <v/>
      </c>
    </row>
    <row r="25" spans="1:12" x14ac:dyDescent="0.25">
      <c r="A25" s="14">
        <v>5</v>
      </c>
      <c r="B25" s="11">
        <f t="shared" si="0"/>
        <v>347782.22228999995</v>
      </c>
      <c r="C25" s="11">
        <f t="shared" si="1"/>
        <v>223330.45637476648</v>
      </c>
      <c r="D25" s="11">
        <f t="shared" si="2"/>
        <v>25201.892234899457</v>
      </c>
      <c r="E25" s="11">
        <f t="shared" si="3"/>
        <v>19746.342010561995</v>
      </c>
      <c r="F25" s="11">
        <f>SUM($E$21:E25)</f>
        <v>107073.95844038471</v>
      </c>
      <c r="G25" s="11">
        <f t="shared" si="4"/>
        <v>20259.158579999999</v>
      </c>
      <c r="H25" s="11">
        <f t="shared" si="5"/>
        <v>15873.580858063988</v>
      </c>
      <c r="I25" s="11">
        <f>SUM($H$21:H25)</f>
        <v>82510.585809704498</v>
      </c>
      <c r="J25" s="11">
        <f t="shared" si="6"/>
        <v>94912.531666397743</v>
      </c>
      <c r="K25" s="11">
        <f t="shared" si="7"/>
        <v>-12401.945856693244</v>
      </c>
      <c r="L25" s="14" t="str">
        <f t="shared" si="8"/>
        <v/>
      </c>
    </row>
    <row r="26" spans="1:12" x14ac:dyDescent="0.25">
      <c r="A26" s="14">
        <v>6</v>
      </c>
      <c r="B26" s="11">
        <f t="shared" si="0"/>
        <v>358215.68895869999</v>
      </c>
      <c r="C26" s="11">
        <f t="shared" si="1"/>
        <v>219355.08728971804</v>
      </c>
      <c r="D26" s="11">
        <f t="shared" si="2"/>
        <v>25439.937348214455</v>
      </c>
      <c r="E26" s="11">
        <f t="shared" si="3"/>
        <v>18983.672938708805</v>
      </c>
      <c r="F26" s="11">
        <f>SUM($E$21:E26)</f>
        <v>126057.63137909351</v>
      </c>
      <c r="G26" s="11">
        <f t="shared" si="4"/>
        <v>20866.933337399998</v>
      </c>
      <c r="H26" s="11">
        <f t="shared" si="5"/>
        <v>15571.226936958008</v>
      </c>
      <c r="I26" s="11">
        <f>SUM($H$21:H26)</f>
        <v>98081.812746662501</v>
      </c>
      <c r="J26" s="11">
        <f t="shared" si="6"/>
        <v>107476.07617254014</v>
      </c>
      <c r="K26" s="11">
        <f t="shared" si="7"/>
        <v>-9394.2634258776379</v>
      </c>
      <c r="L26" s="14" t="str">
        <f t="shared" si="8"/>
        <v/>
      </c>
    </row>
    <row r="27" spans="1:12" x14ac:dyDescent="0.25">
      <c r="A27" s="14">
        <v>7</v>
      </c>
      <c r="B27" s="11">
        <f t="shared" si="0"/>
        <v>368962.15962746099</v>
      </c>
      <c r="C27" s="11">
        <f t="shared" si="1"/>
        <v>215134.52613815005</v>
      </c>
      <c r="D27" s="11">
        <f t="shared" si="2"/>
        <v>25685.123814928906</v>
      </c>
      <c r="E27" s="11">
        <f t="shared" si="3"/>
        <v>18253.937957350536</v>
      </c>
      <c r="F27" s="11">
        <f>SUM($E$21:E27)</f>
        <v>144311.56933644405</v>
      </c>
      <c r="G27" s="11">
        <f t="shared" si="4"/>
        <v>21492.941337521999</v>
      </c>
      <c r="H27" s="11">
        <f t="shared" si="5"/>
        <v>15274.632138158806</v>
      </c>
      <c r="I27" s="11">
        <f>SUM($H$21:H27)</f>
        <v>113356.44488482131</v>
      </c>
      <c r="J27" s="11">
        <f t="shared" si="6"/>
        <v>119722.01325979533</v>
      </c>
      <c r="K27" s="11">
        <f t="shared" si="7"/>
        <v>-6365.5683749740274</v>
      </c>
      <c r="L27" s="14" t="str">
        <f t="shared" si="8"/>
        <v/>
      </c>
    </row>
    <row r="28" spans="1:12" x14ac:dyDescent="0.25">
      <c r="A28" s="14">
        <v>8</v>
      </c>
      <c r="B28" s="11">
        <f t="shared" si="0"/>
        <v>380031.02441628475</v>
      </c>
      <c r="C28" s="11">
        <f t="shared" si="1"/>
        <v>210653.65000991308</v>
      </c>
      <c r="D28" s="11">
        <f t="shared" si="2"/>
        <v>25937.665875644787</v>
      </c>
      <c r="E28" s="11">
        <f t="shared" si="3"/>
        <v>17555.633223784669</v>
      </c>
      <c r="F28" s="11">
        <f>SUM($E$21:E28)</f>
        <v>161867.20256022873</v>
      </c>
      <c r="G28" s="11">
        <f t="shared" si="4"/>
        <v>22137.72957764766</v>
      </c>
      <c r="H28" s="11">
        <f t="shared" si="5"/>
        <v>14983.68676409864</v>
      </c>
      <c r="I28" s="11">
        <f>SUM($H$21:H28)</f>
        <v>128340.13164891995</v>
      </c>
      <c r="J28" s="11">
        <f t="shared" si="6"/>
        <v>131659.12589194765</v>
      </c>
      <c r="K28" s="11">
        <f t="shared" si="7"/>
        <v>-3318.9942430277006</v>
      </c>
      <c r="L28" s="14" t="str">
        <f t="shared" si="8"/>
        <v/>
      </c>
    </row>
    <row r="29" spans="1:12" x14ac:dyDescent="0.25">
      <c r="A29" s="14">
        <v>9</v>
      </c>
      <c r="B29" s="11">
        <f t="shared" si="0"/>
        <v>391431.95514877333</v>
      </c>
      <c r="C29" s="11">
        <f t="shared" si="1"/>
        <v>205896.40324685059</v>
      </c>
      <c r="D29" s="11">
        <f t="shared" si="2"/>
        <v>26197.784198182148</v>
      </c>
      <c r="E29" s="11">
        <f t="shared" si="3"/>
        <v>16887.325279297929</v>
      </c>
      <c r="F29" s="11">
        <f>SUM($E$21:E29)</f>
        <v>178754.52783952665</v>
      </c>
      <c r="G29" s="11">
        <f t="shared" si="4"/>
        <v>22801.861464977086</v>
      </c>
      <c r="H29" s="11">
        <f t="shared" si="5"/>
        <v>14698.283206687234</v>
      </c>
      <c r="I29" s="11">
        <f>SUM($H$21:H29)</f>
        <v>143038.41485560717</v>
      </c>
      <c r="J29" s="11">
        <f t="shared" si="6"/>
        <v>143295.8885110452</v>
      </c>
      <c r="K29" s="11">
        <f t="shared" si="7"/>
        <v>-257.47365543802152</v>
      </c>
      <c r="L29" s="14" t="str">
        <f t="shared" si="8"/>
        <v/>
      </c>
    </row>
    <row r="30" spans="1:12" x14ac:dyDescent="0.25">
      <c r="A30" s="14">
        <v>10</v>
      </c>
      <c r="B30" s="11">
        <f t="shared" si="0"/>
        <v>403174.91380323656</v>
      </c>
      <c r="C30" s="11">
        <f t="shared" si="1"/>
        <v>200845.7399129429</v>
      </c>
      <c r="D30" s="11">
        <f t="shared" si="2"/>
        <v>26465.70607039563</v>
      </c>
      <c r="E30" s="11">
        <f t="shared" si="3"/>
        <v>16247.647720930005</v>
      </c>
      <c r="F30" s="11">
        <f>SUM($E$21:E30)</f>
        <v>195002.17556045664</v>
      </c>
      <c r="G30" s="11">
        <f t="shared" si="4"/>
        <v>23485.9173089264</v>
      </c>
      <c r="H30" s="11">
        <f t="shared" si="5"/>
        <v>14418.31590751224</v>
      </c>
      <c r="I30" s="11">
        <f>SUM($H$21:H30)</f>
        <v>157456.73076311941</v>
      </c>
      <c r="J30" s="11">
        <f t="shared" si="6"/>
        <v>154640.47951599001</v>
      </c>
      <c r="K30" s="11">
        <f t="shared" si="7"/>
        <v>2816.2512471294031</v>
      </c>
      <c r="L30" s="14">
        <f t="shared" si="8"/>
        <v>10</v>
      </c>
    </row>
    <row r="31" spans="1:12" x14ac:dyDescent="0.25">
      <c r="A31" s="14">
        <v>11</v>
      </c>
      <c r="B31" s="11">
        <f t="shared" si="0"/>
        <v>415270.16121733363</v>
      </c>
      <c r="C31" s="11">
        <f t="shared" si="1"/>
        <v>195483.56271613552</v>
      </c>
      <c r="D31" s="11">
        <f t="shared" si="2"/>
        <v>26741.665598775515</v>
      </c>
      <c r="E31" s="11">
        <f t="shared" si="3"/>
        <v>15635.298031279308</v>
      </c>
      <c r="F31" s="11">
        <f>SUM($E$21:E31)</f>
        <v>210637.47359173594</v>
      </c>
      <c r="G31" s="11">
        <f t="shared" si="4"/>
        <v>24190.494828194191</v>
      </c>
      <c r="H31" s="11">
        <f t="shared" si="5"/>
        <v>14143.68131879772</v>
      </c>
      <c r="I31" s="11">
        <f>SUM($H$21:H31)</f>
        <v>171600.41208191714</v>
      </c>
      <c r="J31" s="11">
        <f t="shared" si="6"/>
        <v>165700.79318769084</v>
      </c>
      <c r="K31" s="11">
        <f t="shared" si="7"/>
        <v>5899.6188942262961</v>
      </c>
      <c r="L31" s="14">
        <f t="shared" si="8"/>
        <v>11</v>
      </c>
    </row>
    <row r="32" spans="1:12" x14ac:dyDescent="0.25">
      <c r="A32" s="14">
        <v>12</v>
      </c>
      <c r="B32" s="11">
        <f t="shared" si="0"/>
        <v>427728.26605385361</v>
      </c>
      <c r="C32" s="11">
        <f t="shared" si="1"/>
        <v>189790.65816299943</v>
      </c>
      <c r="D32" s="11">
        <f t="shared" si="2"/>
        <v>27025.903913006798</v>
      </c>
      <c r="E32" s="11">
        <f t="shared" si="3"/>
        <v>15049.034558833508</v>
      </c>
      <c r="F32" s="11">
        <f>SUM($E$21:E32)</f>
        <v>225686.50815056945</v>
      </c>
      <c r="G32" s="11">
        <f t="shared" si="4"/>
        <v>24916.209673040019</v>
      </c>
      <c r="H32" s="11">
        <f t="shared" si="5"/>
        <v>13874.277865106338</v>
      </c>
      <c r="I32" s="11">
        <f>SUM($H$21:H32)</f>
        <v>185474.68994702346</v>
      </c>
      <c r="J32" s="11">
        <f t="shared" si="6"/>
        <v>176484.45108634126</v>
      </c>
      <c r="K32" s="11">
        <f t="shared" si="7"/>
        <v>8990.238860682206</v>
      </c>
      <c r="L32" s="14">
        <f t="shared" si="8"/>
        <v>12</v>
      </c>
    </row>
    <row r="33" spans="1:12" x14ac:dyDescent="0.25">
      <c r="A33" s="14">
        <v>13</v>
      </c>
      <c r="B33" s="11">
        <f t="shared" si="0"/>
        <v>440560.11403546919</v>
      </c>
      <c r="C33" s="11">
        <f t="shared" si="1"/>
        <v>183746.62771387241</v>
      </c>
      <c r="D33" s="11">
        <f t="shared" si="2"/>
        <v>27318.669376665013</v>
      </c>
      <c r="E33" s="11">
        <f t="shared" si="3"/>
        <v>14487.67364166524</v>
      </c>
      <c r="F33" s="11">
        <f>SUM($E$21:E33)</f>
        <v>240174.18179223468</v>
      </c>
      <c r="G33" s="11">
        <f t="shared" si="4"/>
        <v>25663.695963231214</v>
      </c>
      <c r="H33" s="11">
        <f t="shared" si="5"/>
        <v>13610.005905770973</v>
      </c>
      <c r="I33" s="11">
        <f>SUM($H$21:H33)</f>
        <v>199084.69585279445</v>
      </c>
      <c r="J33" s="11">
        <f t="shared" si="6"/>
        <v>186998.81294518264</v>
      </c>
      <c r="K33" s="11">
        <f t="shared" si="7"/>
        <v>12085.882907611813</v>
      </c>
      <c r="L33" s="14">
        <f t="shared" si="8"/>
        <v>13</v>
      </c>
    </row>
    <row r="34" spans="1:12" x14ac:dyDescent="0.25">
      <c r="A34" s="14">
        <v>14</v>
      </c>
      <c r="B34" s="11">
        <f t="shared" si="0"/>
        <v>453776.91745653329</v>
      </c>
      <c r="C34" s="11">
        <f t="shared" si="1"/>
        <v>177329.81469180086</v>
      </c>
      <c r="D34" s="11">
        <f t="shared" si="2"/>
        <v>27620.217804232983</v>
      </c>
      <c r="E34" s="11">
        <f t="shared" si="3"/>
        <v>13950.086867674338</v>
      </c>
      <c r="F34" s="11">
        <f>SUM($E$21:E34)</f>
        <v>254124.26865990902</v>
      </c>
      <c r="G34" s="11">
        <f t="shared" si="4"/>
        <v>26433.606842128149</v>
      </c>
      <c r="H34" s="11">
        <f t="shared" si="5"/>
        <v>13350.767698042006</v>
      </c>
      <c r="I34" s="11">
        <f>SUM($H$21:H34)</f>
        <v>212435.46355083646</v>
      </c>
      <c r="J34" s="11">
        <f t="shared" si="6"/>
        <v>197250.98708396705</v>
      </c>
      <c r="K34" s="11">
        <f t="shared" si="7"/>
        <v>15184.476466869412</v>
      </c>
      <c r="L34" s="14">
        <f t="shared" si="8"/>
        <v>14</v>
      </c>
    </row>
    <row r="35" spans="1:12" x14ac:dyDescent="0.25">
      <c r="A35" s="14">
        <v>15</v>
      </c>
      <c r="B35" s="11">
        <f t="shared" si="0"/>
        <v>467390.22498022934</v>
      </c>
      <c r="C35" s="11">
        <f t="shared" si="1"/>
        <v>170517.22668338445</v>
      </c>
      <c r="D35" s="11">
        <f t="shared" si="2"/>
        <v>27930.812684627988</v>
      </c>
      <c r="E35" s="11">
        <f t="shared" si="3"/>
        <v>13435.198464882214</v>
      </c>
      <c r="F35" s="11">
        <f>SUM($E$21:E35)</f>
        <v>267559.46712479123</v>
      </c>
      <c r="G35" s="11">
        <f t="shared" si="4"/>
        <v>27226.615047391999</v>
      </c>
      <c r="H35" s="11">
        <f t="shared" si="5"/>
        <v>13096.467360936442</v>
      </c>
      <c r="I35" s="11">
        <f>SUM($H$21:H35)</f>
        <v>225531.93091177291</v>
      </c>
      <c r="J35" s="11">
        <f t="shared" si="6"/>
        <v>207247.84036424191</v>
      </c>
      <c r="K35" s="11">
        <f t="shared" si="7"/>
        <v>18284.090547530999</v>
      </c>
      <c r="L35" s="14">
        <f t="shared" si="8"/>
        <v>15</v>
      </c>
    </row>
    <row r="36" spans="1:12" x14ac:dyDescent="0.25">
      <c r="A36" s="14">
        <v>16</v>
      </c>
      <c r="B36" s="11">
        <f t="shared" si="0"/>
        <v>481411.9317296361</v>
      </c>
      <c r="C36" s="11">
        <f t="shared" si="1"/>
        <v>163284.45315347437</v>
      </c>
      <c r="D36" s="11">
        <f t="shared" si="2"/>
        <v>28250.725411434847</v>
      </c>
      <c r="E36" s="11">
        <f t="shared" si="3"/>
        <v>12941.982815593545</v>
      </c>
      <c r="F36" s="11">
        <f>SUM($E$21:E36)</f>
        <v>280501.44994038477</v>
      </c>
      <c r="G36" s="11">
        <f t="shared" si="4"/>
        <v>28043.413498813759</v>
      </c>
      <c r="H36" s="11">
        <f t="shared" si="5"/>
        <v>12847.010839775749</v>
      </c>
      <c r="I36" s="11">
        <f>SUM($H$21:H36)</f>
        <v>238378.94175154867</v>
      </c>
      <c r="J36" s="11">
        <f t="shared" si="6"/>
        <v>216996.00770754181</v>
      </c>
      <c r="K36" s="11">
        <f t="shared" si="7"/>
        <v>21382.934044006863</v>
      </c>
      <c r="L36" s="14">
        <f t="shared" si="8"/>
        <v>16</v>
      </c>
    </row>
    <row r="37" spans="1:12" x14ac:dyDescent="0.25">
      <c r="A37" s="14">
        <v>17</v>
      </c>
      <c r="B37" s="11">
        <f t="shared" si="0"/>
        <v>495854.2896815252</v>
      </c>
      <c r="C37" s="11">
        <f t="shared" si="1"/>
        <v>155605.5779785281</v>
      </c>
      <c r="D37" s="11">
        <f t="shared" si="2"/>
        <v>28580.235520045906</v>
      </c>
      <c r="E37" s="11">
        <f t="shared" si="3"/>
        <v>12469.462088534196</v>
      </c>
      <c r="F37" s="11">
        <f>SUM($E$21:E37)</f>
        <v>292970.91202891897</v>
      </c>
      <c r="G37" s="11">
        <f t="shared" si="4"/>
        <v>28884.715903778168</v>
      </c>
      <c r="H37" s="11">
        <f t="shared" si="5"/>
        <v>12602.305871399065</v>
      </c>
      <c r="I37" s="11">
        <f>SUM($H$21:H37)</f>
        <v>250981.24762294773</v>
      </c>
      <c r="J37" s="11">
        <f t="shared" si="6"/>
        <v>226501.90119658085</v>
      </c>
      <c r="K37" s="11">
        <f t="shared" si="7"/>
        <v>24479.346426366887</v>
      </c>
      <c r="L37" s="14">
        <f t="shared" si="8"/>
        <v>17</v>
      </c>
    </row>
    <row r="38" spans="1:12" x14ac:dyDescent="0.25">
      <c r="A38" s="14">
        <v>18</v>
      </c>
      <c r="B38" s="11">
        <f t="shared" si="0"/>
        <v>510729.918371971</v>
      </c>
      <c r="C38" s="11">
        <f t="shared" si="1"/>
        <v>147453.08658521052</v>
      </c>
      <c r="D38" s="11">
        <f t="shared" si="2"/>
        <v>28919.630931915301</v>
      </c>
      <c r="E38" s="11">
        <f t="shared" si="3"/>
        <v>12016.703983355368</v>
      </c>
      <c r="F38" s="11">
        <f>SUM($E$21:E38)</f>
        <v>304987.61601227435</v>
      </c>
      <c r="G38" s="11">
        <f t="shared" si="4"/>
        <v>29751.257380891511</v>
      </c>
      <c r="H38" s="11">
        <f t="shared" si="5"/>
        <v>12362.261950039083</v>
      </c>
      <c r="I38" s="11">
        <f>SUM($H$21:H38)</f>
        <v>263343.5095729868</v>
      </c>
      <c r="J38" s="11">
        <f t="shared" si="6"/>
        <v>235771.71877859539</v>
      </c>
      <c r="K38" s="11">
        <f t="shared" si="7"/>
        <v>27571.790794391418</v>
      </c>
      <c r="L38" s="14">
        <f t="shared" si="8"/>
        <v>18</v>
      </c>
    </row>
    <row r="39" spans="1:12" x14ac:dyDescent="0.25">
      <c r="A39" s="14">
        <v>19</v>
      </c>
      <c r="B39" s="11">
        <f t="shared" si="0"/>
        <v>526051.81592313014</v>
      </c>
      <c r="C39" s="11">
        <f t="shared" si="1"/>
        <v>138797.76736150892</v>
      </c>
      <c r="D39" s="11">
        <f t="shared" si="2"/>
        <v>29269.208206140775</v>
      </c>
      <c r="E39" s="11">
        <f t="shared" si="3"/>
        <v>11582.819582160311</v>
      </c>
      <c r="F39" s="11">
        <f>SUM($E$21:E39)</f>
        <v>316570.43559443468</v>
      </c>
      <c r="G39" s="11">
        <f t="shared" si="4"/>
        <v>30643.795102318258</v>
      </c>
      <c r="H39" s="11">
        <f t="shared" si="5"/>
        <v>12126.790293847862</v>
      </c>
      <c r="I39" s="11">
        <f>SUM($H$21:H39)</f>
        <v>275470.29986683466</v>
      </c>
      <c r="J39" s="11">
        <f t="shared" si="6"/>
        <v>244811.45258908946</v>
      </c>
      <c r="K39" s="11">
        <f t="shared" si="7"/>
        <v>30658.847277745197</v>
      </c>
      <c r="L39" s="14">
        <f t="shared" si="8"/>
        <v>19</v>
      </c>
    </row>
    <row r="40" spans="1:12" x14ac:dyDescent="0.25">
      <c r="A40" s="14">
        <v>20</v>
      </c>
      <c r="B40" s="11">
        <f t="shared" si="0"/>
        <v>541833.370400824</v>
      </c>
      <c r="C40" s="11">
        <f t="shared" si="1"/>
        <v>129608.60698710079</v>
      </c>
      <c r="D40" s="11">
        <f t="shared" si="2"/>
        <v>29629.272798593011</v>
      </c>
      <c r="E40" s="11">
        <f t="shared" si="3"/>
        <v>11166.961302964783</v>
      </c>
      <c r="F40" s="11">
        <f>SUM($E$21:E40)</f>
        <v>327737.39689739945</v>
      </c>
      <c r="G40" s="11">
        <f t="shared" si="4"/>
        <v>31563.108955387805</v>
      </c>
      <c r="H40" s="11">
        <f t="shared" si="5"/>
        <v>11895.803812060283</v>
      </c>
      <c r="I40" s="11">
        <f>SUM($H$21:H40)</f>
        <v>287366.10367889493</v>
      </c>
      <c r="J40" s="11">
        <f t="shared" si="6"/>
        <v>253626.89691337838</v>
      </c>
      <c r="K40" s="11">
        <f t="shared" si="7"/>
        <v>33739.206765516545</v>
      </c>
      <c r="L40" s="14">
        <f t="shared" si="8"/>
        <v>20</v>
      </c>
    </row>
    <row r="41" spans="1:12" x14ac:dyDescent="0.25">
      <c r="A41" s="14">
        <v>21</v>
      </c>
      <c r="B41" s="11">
        <f t="shared" si="0"/>
        <v>558088.37151284865</v>
      </c>
      <c r="C41" s="11">
        <f t="shared" si="1"/>
        <v>119852.67930792714</v>
      </c>
      <c r="D41" s="11">
        <f t="shared" si="2"/>
        <v>30000.139328818819</v>
      </c>
      <c r="E41" s="11">
        <f t="shared" si="3"/>
        <v>10768.320950244279</v>
      </c>
      <c r="F41" s="11">
        <f>SUM($E$21:E41)</f>
        <v>338505.71784764371</v>
      </c>
      <c r="G41" s="11">
        <f t="shared" si="4"/>
        <v>32510.00222404944</v>
      </c>
      <c r="H41" s="11">
        <f t="shared" si="5"/>
        <v>11669.217072782945</v>
      </c>
      <c r="I41" s="11">
        <f>SUM($H$21:H41)</f>
        <v>299035.32075167785</v>
      </c>
      <c r="J41" s="11">
        <f t="shared" si="6"/>
        <v>262223.6558025108</v>
      </c>
      <c r="K41" s="11">
        <f t="shared" si="7"/>
        <v>36811.664949167054</v>
      </c>
      <c r="L41" s="14">
        <f t="shared" si="8"/>
        <v>21</v>
      </c>
    </row>
    <row r="42" spans="1:12" x14ac:dyDescent="0.25">
      <c r="A42" s="14">
        <v>22</v>
      </c>
      <c r="B42" s="11">
        <f t="shared" si="0"/>
        <v>574831.02265823411</v>
      </c>
      <c r="C42" s="11">
        <f t="shared" si="1"/>
        <v>109495.02735679375</v>
      </c>
      <c r="D42" s="11">
        <f t="shared" si="2"/>
        <v>30382.131854951396</v>
      </c>
      <c r="E42" s="11">
        <f t="shared" si="3"/>
        <v>10386.127857951884</v>
      </c>
      <c r="F42" s="11">
        <f>SUM($E$21:E42)</f>
        <v>348891.84570559557</v>
      </c>
      <c r="G42" s="11">
        <f t="shared" si="4"/>
        <v>33485.302290770916</v>
      </c>
      <c r="H42" s="11">
        <f t="shared" si="5"/>
        <v>11446.946271396602</v>
      </c>
      <c r="I42" s="11">
        <f>SUM($H$21:H42)</f>
        <v>310482.26702307444</v>
      </c>
      <c r="J42" s="11">
        <f t="shared" si="6"/>
        <v>270607.15035937179</v>
      </c>
      <c r="K42" s="11">
        <f t="shared" si="7"/>
        <v>39875.116663702647</v>
      </c>
      <c r="L42" s="14">
        <f t="shared" si="8"/>
        <v>22</v>
      </c>
    </row>
    <row r="43" spans="1:12" x14ac:dyDescent="0.25">
      <c r="A43" s="14">
        <v>23</v>
      </c>
      <c r="B43" s="11">
        <f t="shared" si="0"/>
        <v>592075.95333798125</v>
      </c>
      <c r="C43" s="11">
        <f t="shared" si="1"/>
        <v>98498.538097260403</v>
      </c>
      <c r="D43" s="11">
        <f t="shared" si="2"/>
        <v>30775.584156867961</v>
      </c>
      <c r="E43" s="11">
        <f t="shared" si="3"/>
        <v>10019.64712061028</v>
      </c>
      <c r="F43" s="11">
        <f>SUM($E$21:E43)</f>
        <v>358911.49282620585</v>
      </c>
      <c r="G43" s="11">
        <f t="shared" si="4"/>
        <v>34489.861359494047</v>
      </c>
      <c r="H43" s="11">
        <f t="shared" si="5"/>
        <v>11228.909199560476</v>
      </c>
      <c r="I43" s="11">
        <f>SUM($H$21:H43)</f>
        <v>321711.17622263491</v>
      </c>
      <c r="J43" s="11">
        <f t="shared" si="6"/>
        <v>278782.62571003078</v>
      </c>
      <c r="K43" s="11">
        <f t="shared" si="7"/>
        <v>42928.550512604124</v>
      </c>
      <c r="L43" s="14">
        <f t="shared" si="8"/>
        <v>23</v>
      </c>
    </row>
    <row r="44" spans="1:12" x14ac:dyDescent="0.25">
      <c r="A44" s="14">
        <v>24</v>
      </c>
      <c r="B44" s="11">
        <f t="shared" si="0"/>
        <v>609838.23193812056</v>
      </c>
      <c r="C44" s="11">
        <f t="shared" si="1"/>
        <v>86823.809442007681</v>
      </c>
      <c r="D44" s="11">
        <f t="shared" si="2"/>
        <v>31180.840027842016</v>
      </c>
      <c r="E44" s="11">
        <f t="shared" si="3"/>
        <v>9668.1779082905869</v>
      </c>
      <c r="F44" s="11">
        <f>SUM($E$21:E44)</f>
        <v>368579.67073449644</v>
      </c>
      <c r="G44" s="11">
        <f t="shared" si="4"/>
        <v>35524.557200278869</v>
      </c>
      <c r="H44" s="11">
        <f t="shared" si="5"/>
        <v>11015.025214806943</v>
      </c>
      <c r="I44" s="11">
        <f>SUM($H$21:H44)</f>
        <v>332726.20143744186</v>
      </c>
      <c r="J44" s="11">
        <f t="shared" si="6"/>
        <v>286755.15767469077</v>
      </c>
      <c r="K44" s="11">
        <f t="shared" si="7"/>
        <v>45971.043762751098</v>
      </c>
      <c r="L44" s="14">
        <f t="shared" si="8"/>
        <v>24</v>
      </c>
    </row>
    <row r="45" spans="1:12" x14ac:dyDescent="0.25">
      <c r="A45" s="14">
        <v>25</v>
      </c>
      <c r="B45" s="11">
        <f t="shared" si="0"/>
        <v>628133.37889626413</v>
      </c>
      <c r="C45" s="11">
        <f t="shared" si="1"/>
        <v>74429.009069187217</v>
      </c>
      <c r="D45" s="11">
        <f t="shared" si="2"/>
        <v>31598.253574945287</v>
      </c>
      <c r="E45" s="11">
        <f t="shared" si="3"/>
        <v>9331.0518614900629</v>
      </c>
      <c r="F45" s="11">
        <f>SUM($E$21:E45)</f>
        <v>377910.7225959865</v>
      </c>
      <c r="G45" s="11">
        <f t="shared" si="4"/>
        <v>36590.293916287235</v>
      </c>
      <c r="H45" s="11">
        <f t="shared" si="5"/>
        <v>10805.215210715383</v>
      </c>
      <c r="I45" s="11">
        <f>SUM($H$21:H45)</f>
        <v>343531.41664815723</v>
      </c>
      <c r="J45" s="11">
        <f t="shared" si="6"/>
        <v>294529.65915192483</v>
      </c>
      <c r="K45" s="11">
        <f t="shared" si="7"/>
        <v>49001.7574962324</v>
      </c>
      <c r="L45" s="14">
        <f t="shared" si="8"/>
        <v>25</v>
      </c>
    </row>
    <row r="46" spans="1:12" x14ac:dyDescent="0.25">
      <c r="A46" s="14">
        <v>26</v>
      </c>
      <c r="B46" s="11">
        <f t="shared" si="0"/>
        <v>646977.38026315218</v>
      </c>
      <c r="C46" s="11">
        <f t="shared" si="1"/>
        <v>61269.724530873587</v>
      </c>
      <c r="D46" s="11">
        <f t="shared" si="2"/>
        <v>32028.189528461662</v>
      </c>
      <c r="E46" s="11">
        <f t="shared" si="3"/>
        <v>9007.6315621104459</v>
      </c>
      <c r="F46" s="11">
        <f>SUM($E$21:E46)</f>
        <v>386918.35415809695</v>
      </c>
      <c r="G46" s="11">
        <f t="shared" si="4"/>
        <v>37688.002733775851</v>
      </c>
      <c r="H46" s="11">
        <f t="shared" si="5"/>
        <v>10599.401587654136</v>
      </c>
      <c r="I46" s="11">
        <f>SUM($H$21:H46)</f>
        <v>354130.81823581137</v>
      </c>
      <c r="J46" s="11">
        <f t="shared" si="6"/>
        <v>302110.88622924691</v>
      </c>
      <c r="K46" s="11">
        <f t="shared" si="7"/>
        <v>52019.932006564457</v>
      </c>
      <c r="L46" s="14">
        <f t="shared" si="8"/>
        <v>26</v>
      </c>
    </row>
    <row r="47" spans="1:12" x14ac:dyDescent="0.25">
      <c r="A47" s="14">
        <v>27</v>
      </c>
      <c r="B47" s="11">
        <f t="shared" si="0"/>
        <v>666386.70167104667</v>
      </c>
      <c r="C47" s="11">
        <f t="shared" si="1"/>
        <v>47298.804116535001</v>
      </c>
      <c r="D47" s="11">
        <f t="shared" si="2"/>
        <v>32471.023560583533</v>
      </c>
      <c r="E47" s="11">
        <f t="shared" si="3"/>
        <v>8697.3090769194132</v>
      </c>
      <c r="F47" s="11">
        <f>SUM($E$21:E47)</f>
        <v>395615.66323501634</v>
      </c>
      <c r="G47" s="11">
        <f t="shared" si="4"/>
        <v>38818.642815789128</v>
      </c>
      <c r="H47" s="11">
        <f t="shared" si="5"/>
        <v>10397.508224079771</v>
      </c>
      <c r="I47" s="11">
        <f>SUM($H$21:H47)</f>
        <v>364528.32645989116</v>
      </c>
      <c r="J47" s="11">
        <f t="shared" si="6"/>
        <v>309503.4440324512</v>
      </c>
      <c r="K47" s="11">
        <f t="shared" si="7"/>
        <v>55024.882427439967</v>
      </c>
      <c r="L47" s="14">
        <f t="shared" si="8"/>
        <v>27</v>
      </c>
    </row>
    <row r="48" spans="1:12" x14ac:dyDescent="0.25">
      <c r="A48" s="14">
        <v>28</v>
      </c>
      <c r="B48" s="11">
        <f t="shared" si="0"/>
        <v>686378.30272117804</v>
      </c>
      <c r="C48" s="11">
        <f t="shared" si="1"/>
        <v>32466.187901306432</v>
      </c>
      <c r="D48" s="11">
        <f t="shared" si="2"/>
        <v>32927.14261366905</v>
      </c>
      <c r="E48" s="11">
        <f t="shared" si="3"/>
        <v>8399.5045700498558</v>
      </c>
      <c r="F48" s="11">
        <f>SUM($E$21:E48)</f>
        <v>404015.16780506622</v>
      </c>
      <c r="G48" s="11">
        <f t="shared" si="4"/>
        <v>39983.202100262803</v>
      </c>
      <c r="H48" s="11">
        <f t="shared" si="5"/>
        <v>10199.460448383015</v>
      </c>
      <c r="I48" s="11">
        <f>SUM($H$21:H48)</f>
        <v>374727.78690827417</v>
      </c>
      <c r="J48" s="11">
        <f t="shared" si="6"/>
        <v>316711.79232557397</v>
      </c>
      <c r="K48" s="11">
        <f t="shared" si="7"/>
        <v>58015.994582700194</v>
      </c>
      <c r="L48" s="14">
        <f t="shared" si="8"/>
        <v>28</v>
      </c>
    </row>
    <row r="49" spans="1:12" x14ac:dyDescent="0.25">
      <c r="A49" s="14">
        <v>29</v>
      </c>
      <c r="B49" s="11">
        <f t="shared" si="0"/>
        <v>706969.65180281329</v>
      </c>
      <c r="C49" s="11">
        <f t="shared" si="1"/>
        <v>16718.72837369726</v>
      </c>
      <c r="D49" s="11">
        <f t="shared" si="2"/>
        <v>33396.945238347136</v>
      </c>
      <c r="E49" s="11">
        <f t="shared" si="3"/>
        <v>8113.6649812555761</v>
      </c>
      <c r="F49" s="11">
        <f>SUM($E$21:E49)</f>
        <v>412128.83278632181</v>
      </c>
      <c r="G49" s="11">
        <f t="shared" si="4"/>
        <v>41182.698163270681</v>
      </c>
      <c r="H49" s="11">
        <f t="shared" si="5"/>
        <v>10005.185011270954</v>
      </c>
      <c r="I49" s="11">
        <f>SUM($H$21:H49)</f>
        <v>384732.97191954515</v>
      </c>
      <c r="J49" s="11">
        <f t="shared" si="6"/>
        <v>323740.25087278301</v>
      </c>
      <c r="K49" s="11">
        <f t="shared" si="7"/>
        <v>60992.721046762133</v>
      </c>
      <c r="L49" s="14">
        <f t="shared" si="8"/>
        <v>29</v>
      </c>
    </row>
    <row r="50" spans="1:12" x14ac:dyDescent="0.25">
      <c r="A50" s="14">
        <v>30</v>
      </c>
      <c r="B50" s="11">
        <f t="shared" si="0"/>
        <v>728178.74135689775</v>
      </c>
      <c r="C50" s="11">
        <f t="shared" si="1"/>
        <v>0</v>
      </c>
      <c r="D50" s="11">
        <f t="shared" si="2"/>
        <v>33880.841941765568</v>
      </c>
      <c r="E50" s="11">
        <f t="shared" si="3"/>
        <v>7839.2627667981078</v>
      </c>
      <c r="F50" s="11">
        <f>SUM($E$21:E50)</f>
        <v>419968.0955531199</v>
      </c>
      <c r="G50" s="11">
        <f t="shared" si="4"/>
        <v>42418.179108168799</v>
      </c>
      <c r="H50" s="11">
        <f t="shared" si="5"/>
        <v>9814.61005867532</v>
      </c>
      <c r="I50" s="11">
        <f>SUM($H$21:H50)</f>
        <v>394547.58197822049</v>
      </c>
      <c r="J50" s="11">
        <f t="shared" si="6"/>
        <v>330593.00457296253</v>
      </c>
      <c r="K50" s="11">
        <f t="shared" si="7"/>
        <v>63954.577405257965</v>
      </c>
      <c r="L50" s="14">
        <f t="shared" si="8"/>
        <v>30</v>
      </c>
    </row>
  </sheetData>
  <mergeCells count="1">
    <mergeCell ref="A2:L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0"/>
  <sheetViews>
    <sheetView workbookViewId="0">
      <pane ySplit="20" topLeftCell="A21" activePane="bottomLeft" state="frozen"/>
      <selection pane="bottomLeft"/>
    </sheetView>
  </sheetViews>
  <sheetFormatPr defaultRowHeight="15" x14ac:dyDescent="0.25"/>
  <cols>
    <col min="1" max="1" width="27" customWidth="1"/>
    <col min="2" max="3" width="15" customWidth="1"/>
    <col min="4" max="4" width="30" customWidth="1"/>
    <col min="5" max="5" width="17" customWidth="1"/>
    <col min="6" max="6" width="15" customWidth="1"/>
    <col min="7" max="7" width="17" customWidth="1"/>
    <col min="8" max="10" width="15" customWidth="1"/>
    <col min="11" max="11" width="17" customWidth="1"/>
    <col min="12" max="12" width="11" customWidth="1"/>
  </cols>
  <sheetData>
    <row r="1" spans="1:12" ht="16.5" x14ac:dyDescent="0.25">
      <c r="A1" s="1" t="s">
        <v>114</v>
      </c>
    </row>
    <row r="2" spans="1:12" ht="48" customHeight="1" x14ac:dyDescent="0.25">
      <c r="A2" s="22" t="s">
        <v>115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t="s">
        <v>54</v>
      </c>
      <c r="D3" t="s">
        <v>55</v>
      </c>
    </row>
    <row r="4" spans="1:12" x14ac:dyDescent="0.25">
      <c r="A4" s="2" t="s">
        <v>56</v>
      </c>
      <c r="B4" s="10">
        <v>1000000</v>
      </c>
      <c r="D4" s="2" t="s">
        <v>57</v>
      </c>
      <c r="E4" s="11">
        <f>(1-$B$6)*$B$4</f>
        <v>800000</v>
      </c>
    </row>
    <row r="5" spans="1:12" x14ac:dyDescent="0.25">
      <c r="A5" s="2" t="s">
        <v>58</v>
      </c>
      <c r="B5" s="10">
        <v>1000</v>
      </c>
      <c r="D5" s="2" t="s">
        <v>59</v>
      </c>
      <c r="E5" s="12">
        <f>$B$7/12</f>
        <v>5.0000000000000001E-3</v>
      </c>
    </row>
    <row r="6" spans="1:12" x14ac:dyDescent="0.25">
      <c r="A6" s="2" t="s">
        <v>60</v>
      </c>
      <c r="B6" s="13">
        <v>0.2</v>
      </c>
      <c r="D6" s="2" t="s">
        <v>61</v>
      </c>
      <c r="E6" s="14">
        <f>12*$B$8</f>
        <v>360</v>
      </c>
    </row>
    <row r="7" spans="1:12" x14ac:dyDescent="0.25">
      <c r="A7" s="2" t="s">
        <v>62</v>
      </c>
      <c r="B7" s="15">
        <v>0.06</v>
      </c>
      <c r="D7" s="2" t="s">
        <v>63</v>
      </c>
      <c r="E7" s="11">
        <f>IF($E$4=0,0,IF($E$5=0,$E$4/$E$6,$E$4*$E$5*(1+$E$5)^$E$6/((1+$E$5)^$E$6-1)))</f>
        <v>4796.4042012220716</v>
      </c>
      <c r="H7" s="10">
        <v>4796.4042012220552</v>
      </c>
      <c r="I7" s="2" t="str">
        <f>IF(ABS(E7-H7)&lt;0.01,"PASS","FAIL")</f>
        <v>PASS</v>
      </c>
    </row>
    <row r="8" spans="1:12" x14ac:dyDescent="0.25">
      <c r="A8" s="2" t="s">
        <v>64</v>
      </c>
      <c r="B8" s="16">
        <v>30</v>
      </c>
      <c r="G8" s="17" t="s">
        <v>65</v>
      </c>
      <c r="H8" s="17" t="s">
        <v>66</v>
      </c>
      <c r="I8" s="17" t="s">
        <v>67</v>
      </c>
      <c r="J8" s="17" t="s">
        <v>68</v>
      </c>
    </row>
    <row r="9" spans="1:12" x14ac:dyDescent="0.25">
      <c r="A9" s="2" t="s">
        <v>69</v>
      </c>
      <c r="B9" s="16">
        <v>7</v>
      </c>
      <c r="D9" s="2" t="s">
        <v>70</v>
      </c>
      <c r="E9" s="11">
        <f>INDEX(J21:J50,$B$9)</f>
        <v>540625.05656984949</v>
      </c>
      <c r="H9" s="10">
        <v>540625.05656984879</v>
      </c>
      <c r="I9" s="2" t="str">
        <f>IF(ABS(E9-H9)&lt;0.01,"PASS","FAIL")</f>
        <v>PASS</v>
      </c>
    </row>
    <row r="10" spans="1:12" x14ac:dyDescent="0.25">
      <c r="A10" s="2" t="s">
        <v>71</v>
      </c>
      <c r="B10" s="13">
        <v>0.01</v>
      </c>
      <c r="D10" s="2" t="s">
        <v>72</v>
      </c>
      <c r="E10" s="11">
        <f>INDEX(I21:I50,$B$9)</f>
        <v>69436.480768770823</v>
      </c>
      <c r="H10" s="10">
        <v>69436.480768770809</v>
      </c>
      <c r="I10" s="2" t="str">
        <f>IF(ABS(E10-H10)&lt;0.01,"PASS","FAIL")</f>
        <v>PASS</v>
      </c>
    </row>
    <row r="11" spans="1:12" x14ac:dyDescent="0.25">
      <c r="A11" s="2" t="s">
        <v>73</v>
      </c>
      <c r="B11" s="13">
        <v>0.01</v>
      </c>
      <c r="D11" s="3" t="s">
        <v>74</v>
      </c>
      <c r="E11" s="18">
        <f>INDEX(K21:K50,$B$9)</f>
        <v>-471188.5758010787</v>
      </c>
      <c r="H11" s="10">
        <v>-471188.575801078</v>
      </c>
      <c r="I11" s="2" t="str">
        <f>IF(ABS(E11-H11)&lt;0.01,"PASS","FAIL")</f>
        <v>PASS</v>
      </c>
    </row>
    <row r="12" spans="1:12" x14ac:dyDescent="0.25">
      <c r="A12" s="2" t="s">
        <v>75</v>
      </c>
      <c r="B12" s="13">
        <v>3.5000000000000001E-3</v>
      </c>
      <c r="D12" s="2" t="s">
        <v>76</v>
      </c>
      <c r="E12" s="19" t="str">
        <f>IF(E11&gt;=0,"buy","rent")</f>
        <v>rent</v>
      </c>
      <c r="G12" s="20" t="s">
        <v>113</v>
      </c>
      <c r="H12" s="20" t="s">
        <v>113</v>
      </c>
      <c r="I12" s="2" t="str">
        <f>IF(E12=H12,"PASS","FAIL")</f>
        <v>PASS</v>
      </c>
      <c r="J12" s="2" t="str">
        <f>IF(E12=G12,"PASS","FAIL")</f>
        <v>PASS</v>
      </c>
    </row>
    <row r="13" spans="1:12" x14ac:dyDescent="0.25">
      <c r="A13" s="2" t="s">
        <v>78</v>
      </c>
      <c r="B13" s="13">
        <v>0.03</v>
      </c>
      <c r="D13" s="2" t="s">
        <v>79</v>
      </c>
      <c r="E13" s="14" t="str">
        <f>IF(COUNT(L21:L50)=0,"never",MIN(L21:L50))</f>
        <v>never</v>
      </c>
      <c r="G13" s="16" t="s">
        <v>116</v>
      </c>
      <c r="H13" s="16" t="s">
        <v>116</v>
      </c>
      <c r="I13" s="2" t="str">
        <f>IF(E13=H13,"PASS","FAIL")</f>
        <v>PASS</v>
      </c>
      <c r="J13" s="2" t="str">
        <f>IF(E13=G13,"PASS","FAIL")</f>
        <v>PASS</v>
      </c>
    </row>
    <row r="14" spans="1:12" x14ac:dyDescent="0.25">
      <c r="A14" s="2" t="s">
        <v>80</v>
      </c>
      <c r="B14" s="13">
        <v>0.06</v>
      </c>
      <c r="D14" s="2" t="s">
        <v>81</v>
      </c>
      <c r="E14" s="11">
        <f>($B$15+$B$10+$B$11+$B$12-$B$16)*$B$4</f>
        <v>73500.000000000015</v>
      </c>
      <c r="G14" s="10">
        <v>73500</v>
      </c>
      <c r="H14" s="10">
        <v>73500.000000000015</v>
      </c>
      <c r="I14" s="2" t="str">
        <f>IF(ABS(E14-H14)&lt;0.01,"PASS","FAIL")</f>
        <v>PASS</v>
      </c>
      <c r="J14" s="2" t="str">
        <f>IF(ABS(E14-G14)&lt;0.01,"PASS","FAIL")</f>
        <v>PASS</v>
      </c>
    </row>
    <row r="15" spans="1:12" x14ac:dyDescent="0.25">
      <c r="A15" s="2" t="s">
        <v>82</v>
      </c>
      <c r="B15" s="13">
        <v>0.05</v>
      </c>
      <c r="D15" s="2" t="s">
        <v>83</v>
      </c>
      <c r="E15" s="11">
        <f>12*$B$5</f>
        <v>12000</v>
      </c>
      <c r="H15" s="10">
        <v>12000</v>
      </c>
      <c r="I15" s="2" t="str">
        <f>IF(ABS(E15-H15)&lt;0.01,"PASS","FAIL")</f>
        <v>PASS</v>
      </c>
    </row>
    <row r="16" spans="1:12" x14ac:dyDescent="0.25">
      <c r="A16" s="2" t="s">
        <v>84</v>
      </c>
      <c r="B16" s="13">
        <v>0</v>
      </c>
      <c r="D16" s="2" t="s">
        <v>85</v>
      </c>
      <c r="E16" s="11">
        <f>INDEX(C21:C50,$B$9)</f>
        <v>717115.0871271668</v>
      </c>
      <c r="H16" s="10">
        <v>717115.0871271675</v>
      </c>
      <c r="I16" s="2" t="str">
        <f>IF(ABS(E16-H16)&lt;0.01,"PASS","FAIL")</f>
        <v>PASS</v>
      </c>
    </row>
    <row r="17" spans="1:12" x14ac:dyDescent="0.25">
      <c r="A17" s="2" t="s">
        <v>86</v>
      </c>
      <c r="B17" s="13">
        <v>0</v>
      </c>
      <c r="G17" s="5" t="s">
        <v>87</v>
      </c>
    </row>
    <row r="19" spans="1:12" x14ac:dyDescent="0.25">
      <c r="A19" s="3" t="s">
        <v>88</v>
      </c>
    </row>
    <row r="20" spans="1:12" ht="30" customHeight="1" x14ac:dyDescent="0.25">
      <c r="A20" s="21" t="s">
        <v>89</v>
      </c>
      <c r="B20" s="21" t="s">
        <v>90</v>
      </c>
      <c r="C20" s="21" t="s">
        <v>91</v>
      </c>
      <c r="D20" s="21" t="s">
        <v>92</v>
      </c>
      <c r="E20" s="21" t="s">
        <v>93</v>
      </c>
      <c r="F20" s="21" t="s">
        <v>94</v>
      </c>
      <c r="G20" s="21" t="s">
        <v>95</v>
      </c>
      <c r="H20" s="21" t="s">
        <v>96</v>
      </c>
      <c r="I20" s="21" t="s">
        <v>97</v>
      </c>
      <c r="J20" s="21" t="s">
        <v>98</v>
      </c>
      <c r="K20" s="21" t="s">
        <v>99</v>
      </c>
      <c r="L20" s="21" t="s">
        <v>100</v>
      </c>
    </row>
    <row r="21" spans="1:12" x14ac:dyDescent="0.25">
      <c r="A21" s="14">
        <v>1</v>
      </c>
      <c r="B21" s="11">
        <f t="shared" ref="B21:B50" si="0">$B$4*(1+$B$16)^A21</f>
        <v>1000000</v>
      </c>
      <c r="C21" s="11">
        <f t="shared" ref="C21:C50" si="1">IF(OR($E$4=0,A21&gt;=$B$8),0,IF($E$5=0,$E$4-12*A21*$E$7,$E$4*(1+$E$5)^(12*A21)-$E$7*((1+$E$5)^(12*A21)-1)/$E$5))</f>
        <v>790175.90630178596</v>
      </c>
      <c r="D21" s="11">
        <f t="shared" ref="D21:D50" si="2">IF(A21&lt;=$B$8,12*$E$7,0)+($B$10+$B$11+$B$12)*$B$4*(1+$B$16)^(A21-1)</f>
        <v>81056.850414664863</v>
      </c>
      <c r="E21" s="11">
        <f t="shared" ref="E21:E50" si="3">D21/(1+$B$15)^A21</f>
        <v>77197.000394918912</v>
      </c>
      <c r="F21" s="11">
        <f>SUM($E$21:E21)</f>
        <v>77197.000394918912</v>
      </c>
      <c r="G21" s="11">
        <f t="shared" ref="G21:G50" si="4">12*$B$5*(1+$B$17)^(A21-1)</f>
        <v>12000</v>
      </c>
      <c r="H21" s="11">
        <f t="shared" ref="H21:H50" si="5">G21/(1+$B$15)^A21</f>
        <v>11428.571428571428</v>
      </c>
      <c r="I21" s="11">
        <f>SUM($H$21:H21)</f>
        <v>11428.571428571428</v>
      </c>
      <c r="J21" s="11">
        <f t="shared" ref="J21:J50" si="6">($B$6+$B$13)*$B$4+F21-(B21*(1-$B$14)-C21)/(1+$B$15)^A21</f>
        <v>164507.38734900078</v>
      </c>
      <c r="K21" s="11">
        <f t="shared" ref="K21:K50" si="7">I21-J21</f>
        <v>-153078.81592042936</v>
      </c>
      <c r="L21" s="14" t="str">
        <f t="shared" ref="L21:L50" si="8">IF(K21&gt;=0,A21,"")</f>
        <v/>
      </c>
    </row>
    <row r="22" spans="1:12" x14ac:dyDescent="0.25">
      <c r="A22" s="14">
        <v>2</v>
      </c>
      <c r="B22" s="11">
        <f t="shared" si="0"/>
        <v>1000000</v>
      </c>
      <c r="C22" s="11">
        <f t="shared" si="1"/>
        <v>779745.88400071417</v>
      </c>
      <c r="D22" s="11">
        <f t="shared" si="2"/>
        <v>81056.850414664863</v>
      </c>
      <c r="E22" s="11">
        <f t="shared" si="3"/>
        <v>73520.952757065636</v>
      </c>
      <c r="F22" s="11">
        <f>SUM($E$21:E22)</f>
        <v>150717.95315198455</v>
      </c>
      <c r="G22" s="11">
        <f t="shared" si="4"/>
        <v>12000</v>
      </c>
      <c r="H22" s="11">
        <f t="shared" si="5"/>
        <v>10884.353741496598</v>
      </c>
      <c r="I22" s="11">
        <f>SUM($H$21:H22)</f>
        <v>22312.925170068025</v>
      </c>
      <c r="J22" s="11">
        <f t="shared" si="6"/>
        <v>235362.74589639649</v>
      </c>
      <c r="K22" s="11">
        <f t="shared" si="7"/>
        <v>-213049.82072632847</v>
      </c>
      <c r="L22" s="14" t="str">
        <f t="shared" si="8"/>
        <v/>
      </c>
    </row>
    <row r="23" spans="1:12" x14ac:dyDescent="0.25">
      <c r="A23" s="14">
        <v>3</v>
      </c>
      <c r="B23" s="11">
        <f t="shared" si="0"/>
        <v>1000000</v>
      </c>
      <c r="C23" s="11">
        <f t="shared" si="1"/>
        <v>768672.56074641447</v>
      </c>
      <c r="D23" s="11">
        <f t="shared" si="2"/>
        <v>81056.850414664863</v>
      </c>
      <c r="E23" s="11">
        <f t="shared" si="3"/>
        <v>70019.955006729171</v>
      </c>
      <c r="F23" s="11">
        <f>SUM($E$21:E23)</f>
        <v>220737.90815871372</v>
      </c>
      <c r="G23" s="11">
        <f t="shared" si="4"/>
        <v>12000</v>
      </c>
      <c r="H23" s="11">
        <f t="shared" si="5"/>
        <v>10366.051182377712</v>
      </c>
      <c r="I23" s="11">
        <f>SUM($H$21:H23)</f>
        <v>32678.976352445738</v>
      </c>
      <c r="J23" s="11">
        <f t="shared" si="6"/>
        <v>302738.82447134907</v>
      </c>
      <c r="K23" s="11">
        <f t="shared" si="7"/>
        <v>-270059.84811890335</v>
      </c>
      <c r="L23" s="14" t="str">
        <f t="shared" si="8"/>
        <v/>
      </c>
    </row>
    <row r="24" spans="1:12" x14ac:dyDescent="0.25">
      <c r="A24" s="14">
        <v>4</v>
      </c>
      <c r="B24" s="11">
        <f t="shared" si="0"/>
        <v>1000000</v>
      </c>
      <c r="C24" s="11">
        <f t="shared" si="1"/>
        <v>756916.25914372131</v>
      </c>
      <c r="D24" s="11">
        <f t="shared" si="2"/>
        <v>81056.850414664863</v>
      </c>
      <c r="E24" s="11">
        <f t="shared" si="3"/>
        <v>66685.671434980162</v>
      </c>
      <c r="F24" s="11">
        <f>SUM($E$21:E24)</f>
        <v>287423.5795936939</v>
      </c>
      <c r="G24" s="11">
        <f t="shared" si="4"/>
        <v>12000</v>
      </c>
      <c r="H24" s="11">
        <f t="shared" si="5"/>
        <v>9872.4296975025845</v>
      </c>
      <c r="I24" s="11">
        <f>SUM($H$21:H24)</f>
        <v>42551.406049948324</v>
      </c>
      <c r="J24" s="11">
        <f t="shared" si="6"/>
        <v>366800.13289707783</v>
      </c>
      <c r="K24" s="11">
        <f t="shared" si="7"/>
        <v>-324248.72684712952</v>
      </c>
      <c r="L24" s="14" t="str">
        <f t="shared" si="8"/>
        <v/>
      </c>
    </row>
    <row r="25" spans="1:12" x14ac:dyDescent="0.25">
      <c r="A25" s="14">
        <v>5</v>
      </c>
      <c r="B25" s="11">
        <f t="shared" si="0"/>
        <v>1000000</v>
      </c>
      <c r="C25" s="11">
        <f t="shared" si="1"/>
        <v>744434.85458255466</v>
      </c>
      <c r="D25" s="11">
        <f t="shared" si="2"/>
        <v>81056.850414664863</v>
      </c>
      <c r="E25" s="11">
        <f t="shared" si="3"/>
        <v>63510.163271409678</v>
      </c>
      <c r="F25" s="11">
        <f>SUM($E$21:E25)</f>
        <v>350933.74286510359</v>
      </c>
      <c r="G25" s="11">
        <f t="shared" si="4"/>
        <v>12000</v>
      </c>
      <c r="H25" s="11">
        <f t="shared" si="5"/>
        <v>9402.313997621508</v>
      </c>
      <c r="I25" s="11">
        <f>SUM($H$21:H25)</f>
        <v>51953.720047569834</v>
      </c>
      <c r="J25" s="11">
        <f t="shared" si="6"/>
        <v>427703.33418132586</v>
      </c>
      <c r="K25" s="11">
        <f t="shared" si="7"/>
        <v>-375749.61413375603</v>
      </c>
      <c r="L25" s="14" t="str">
        <f t="shared" si="8"/>
        <v/>
      </c>
    </row>
    <row r="26" spans="1:12" x14ac:dyDescent="0.25">
      <c r="A26" s="14">
        <v>6</v>
      </c>
      <c r="B26" s="11">
        <f t="shared" si="0"/>
        <v>1000000</v>
      </c>
      <c r="C26" s="11">
        <f t="shared" si="1"/>
        <v>731183.62429906009</v>
      </c>
      <c r="D26" s="11">
        <f t="shared" si="2"/>
        <v>81056.850414664863</v>
      </c>
      <c r="E26" s="11">
        <f t="shared" si="3"/>
        <v>60485.86978229494</v>
      </c>
      <c r="F26" s="11">
        <f>SUM($E$21:E26)</f>
        <v>411419.61264739855</v>
      </c>
      <c r="G26" s="11">
        <f t="shared" si="4"/>
        <v>12000</v>
      </c>
      <c r="H26" s="11">
        <f t="shared" si="5"/>
        <v>8954.5847596395324</v>
      </c>
      <c r="I26" s="11">
        <f>SUM($H$21:H26)</f>
        <v>60908.304807209366</v>
      </c>
      <c r="J26" s="11">
        <f t="shared" si="6"/>
        <v>485597.61802949867</v>
      </c>
      <c r="K26" s="11">
        <f t="shared" si="7"/>
        <v>-424689.31322228932</v>
      </c>
      <c r="L26" s="14" t="str">
        <f t="shared" si="8"/>
        <v/>
      </c>
    </row>
    <row r="27" spans="1:12" x14ac:dyDescent="0.25">
      <c r="A27" s="14">
        <v>7</v>
      </c>
      <c r="B27" s="11">
        <f t="shared" si="0"/>
        <v>1000000</v>
      </c>
      <c r="C27" s="11">
        <f t="shared" si="1"/>
        <v>717115.0871271668</v>
      </c>
      <c r="D27" s="11">
        <f t="shared" si="2"/>
        <v>81056.850414664863</v>
      </c>
      <c r="E27" s="11">
        <f t="shared" si="3"/>
        <v>57605.590268852313</v>
      </c>
      <c r="F27" s="11">
        <f>SUM($E$21:E27)</f>
        <v>469025.20291625086</v>
      </c>
      <c r="G27" s="11">
        <f t="shared" si="4"/>
        <v>12000</v>
      </c>
      <c r="H27" s="11">
        <f t="shared" si="5"/>
        <v>8528.1759615614574</v>
      </c>
      <c r="I27" s="11">
        <f>SUM($H$21:H27)</f>
        <v>69436.480768770823</v>
      </c>
      <c r="J27" s="11">
        <f t="shared" si="6"/>
        <v>540625.05656984949</v>
      </c>
      <c r="K27" s="11">
        <f t="shared" si="7"/>
        <v>-471188.5758010787</v>
      </c>
      <c r="L27" s="14" t="str">
        <f t="shared" si="8"/>
        <v/>
      </c>
    </row>
    <row r="28" spans="1:12" x14ac:dyDescent="0.25">
      <c r="A28" s="14">
        <v>8</v>
      </c>
      <c r="B28" s="11">
        <f t="shared" si="0"/>
        <v>1000000</v>
      </c>
      <c r="C28" s="11">
        <f t="shared" si="1"/>
        <v>702178.83336637693</v>
      </c>
      <c r="D28" s="11">
        <f t="shared" si="2"/>
        <v>81056.850414664863</v>
      </c>
      <c r="E28" s="11">
        <f t="shared" si="3"/>
        <v>54862.466922716492</v>
      </c>
      <c r="F28" s="11">
        <f>SUM($E$21:E28)</f>
        <v>523887.66983896733</v>
      </c>
      <c r="G28" s="11">
        <f t="shared" si="4"/>
        <v>12000</v>
      </c>
      <c r="H28" s="11">
        <f t="shared" si="5"/>
        <v>8122.0723443442457</v>
      </c>
      <c r="I28" s="11">
        <f>SUM($H$21:H28)</f>
        <v>77558.553113115064</v>
      </c>
      <c r="J28" s="11">
        <f t="shared" si="6"/>
        <v>592920.9431377477</v>
      </c>
      <c r="K28" s="11">
        <f t="shared" si="7"/>
        <v>-515362.39002463262</v>
      </c>
      <c r="L28" s="14" t="str">
        <f t="shared" si="8"/>
        <v/>
      </c>
    </row>
    <row r="29" spans="1:12" x14ac:dyDescent="0.25">
      <c r="A29" s="14">
        <v>9</v>
      </c>
      <c r="B29" s="11">
        <f t="shared" si="0"/>
        <v>1000000</v>
      </c>
      <c r="C29" s="11">
        <f t="shared" si="1"/>
        <v>686321.34415616852</v>
      </c>
      <c r="D29" s="11">
        <f t="shared" si="2"/>
        <v>81056.850414664863</v>
      </c>
      <c r="E29" s="11">
        <f t="shared" si="3"/>
        <v>52249.968497825226</v>
      </c>
      <c r="F29" s="11">
        <f>SUM($E$21:E29)</f>
        <v>576137.63833679259</v>
      </c>
      <c r="G29" s="11">
        <f t="shared" si="4"/>
        <v>12000</v>
      </c>
      <c r="H29" s="11">
        <f t="shared" si="5"/>
        <v>7735.3069946135674</v>
      </c>
      <c r="I29" s="11">
        <f>SUM($H$21:H29)</f>
        <v>85293.860107728629</v>
      </c>
      <c r="J29" s="11">
        <f t="shared" si="6"/>
        <v>642614.11492571281</v>
      </c>
      <c r="K29" s="11">
        <f t="shared" si="7"/>
        <v>-557320.25481798418</v>
      </c>
      <c r="L29" s="14" t="str">
        <f t="shared" si="8"/>
        <v/>
      </c>
    </row>
    <row r="30" spans="1:12" x14ac:dyDescent="0.25">
      <c r="A30" s="14">
        <v>10</v>
      </c>
      <c r="B30" s="11">
        <f t="shared" si="0"/>
        <v>1000000</v>
      </c>
      <c r="C30" s="11">
        <f t="shared" si="1"/>
        <v>669485.79970980948</v>
      </c>
      <c r="D30" s="11">
        <f t="shared" si="2"/>
        <v>81056.850414664863</v>
      </c>
      <c r="E30" s="11">
        <f t="shared" si="3"/>
        <v>49761.874759833554</v>
      </c>
      <c r="F30" s="11">
        <f>SUM($E$21:E30)</f>
        <v>625899.51309662615</v>
      </c>
      <c r="G30" s="11">
        <f t="shared" si="4"/>
        <v>12000</v>
      </c>
      <c r="H30" s="11">
        <f t="shared" si="5"/>
        <v>7366.9590424891121</v>
      </c>
      <c r="I30" s="11">
        <f>SUM($H$21:H30)</f>
        <v>92660.819150217736</v>
      </c>
      <c r="J30" s="11">
        <f t="shared" si="6"/>
        <v>689827.26026749867</v>
      </c>
      <c r="K30" s="11">
        <f t="shared" si="7"/>
        <v>-597166.44111728098</v>
      </c>
      <c r="L30" s="14" t="str">
        <f t="shared" si="8"/>
        <v/>
      </c>
    </row>
    <row r="31" spans="1:12" x14ac:dyDescent="0.25">
      <c r="A31" s="14">
        <v>11</v>
      </c>
      <c r="B31" s="11">
        <f t="shared" si="0"/>
        <v>1000000</v>
      </c>
      <c r="C31" s="11">
        <f t="shared" si="1"/>
        <v>651611.87572045194</v>
      </c>
      <c r="D31" s="11">
        <f t="shared" si="2"/>
        <v>81056.850414664863</v>
      </c>
      <c r="E31" s="11">
        <f t="shared" si="3"/>
        <v>47392.261676031951</v>
      </c>
      <c r="F31" s="11">
        <f>SUM($E$21:E31)</f>
        <v>673291.77477265813</v>
      </c>
      <c r="G31" s="11">
        <f t="shared" si="4"/>
        <v>12000</v>
      </c>
      <c r="H31" s="11">
        <f t="shared" si="5"/>
        <v>7016.1514690372487</v>
      </c>
      <c r="I31" s="11">
        <f>SUM($H$21:H31)</f>
        <v>99676.970619254978</v>
      </c>
      <c r="J31" s="11">
        <f t="shared" si="6"/>
        <v>734677.21128792083</v>
      </c>
      <c r="K31" s="11">
        <f t="shared" si="7"/>
        <v>-635000.24066866585</v>
      </c>
      <c r="L31" s="14" t="str">
        <f t="shared" si="8"/>
        <v/>
      </c>
    </row>
    <row r="32" spans="1:12" x14ac:dyDescent="0.25">
      <c r="A32" s="14">
        <v>12</v>
      </c>
      <c r="B32" s="11">
        <f t="shared" si="0"/>
        <v>1000000</v>
      </c>
      <c r="C32" s="11">
        <f t="shared" si="1"/>
        <v>632635.52720999799</v>
      </c>
      <c r="D32" s="11">
        <f t="shared" si="2"/>
        <v>81056.850414664863</v>
      </c>
      <c r="E32" s="11">
        <f t="shared" si="3"/>
        <v>45135.487310506629</v>
      </c>
      <c r="F32" s="11">
        <f>SUM($E$21:E32)</f>
        <v>718427.26208316477</v>
      </c>
      <c r="G32" s="11">
        <f t="shared" si="4"/>
        <v>12000</v>
      </c>
      <c r="H32" s="11">
        <f t="shared" si="5"/>
        <v>6682.0490181307141</v>
      </c>
      <c r="I32" s="11">
        <f>SUM($H$21:H32)</f>
        <v>106359.01963738569</v>
      </c>
      <c r="J32" s="11">
        <f t="shared" si="6"/>
        <v>777275.22261527332</v>
      </c>
      <c r="K32" s="11">
        <f t="shared" si="7"/>
        <v>-670916.20297788759</v>
      </c>
      <c r="L32" s="14" t="str">
        <f t="shared" si="8"/>
        <v/>
      </c>
    </row>
    <row r="33" spans="1:12" x14ac:dyDescent="0.25">
      <c r="A33" s="14">
        <v>13</v>
      </c>
      <c r="B33" s="11">
        <f t="shared" si="0"/>
        <v>1000000</v>
      </c>
      <c r="C33" s="11">
        <f t="shared" si="1"/>
        <v>612488.75904624141</v>
      </c>
      <c r="D33" s="11">
        <f t="shared" si="2"/>
        <v>81056.850414664863</v>
      </c>
      <c r="E33" s="11">
        <f t="shared" si="3"/>
        <v>42986.178390958681</v>
      </c>
      <c r="F33" s="11">
        <f>SUM($E$21:E33)</f>
        <v>761413.44047412346</v>
      </c>
      <c r="G33" s="11">
        <f t="shared" si="4"/>
        <v>12000</v>
      </c>
      <c r="H33" s="11">
        <f t="shared" si="5"/>
        <v>6363.8562077435363</v>
      </c>
      <c r="I33" s="11">
        <f>SUM($H$21:H33)</f>
        <v>112722.87584512922</v>
      </c>
      <c r="J33" s="11">
        <f t="shared" si="6"/>
        <v>817727.23682000965</v>
      </c>
      <c r="K33" s="11">
        <f t="shared" si="7"/>
        <v>-705004.3609748804</v>
      </c>
      <c r="L33" s="14" t="str">
        <f t="shared" si="8"/>
        <v/>
      </c>
    </row>
    <row r="34" spans="1:12" x14ac:dyDescent="0.25">
      <c r="A34" s="14">
        <v>14</v>
      </c>
      <c r="B34" s="11">
        <f t="shared" si="0"/>
        <v>1000000</v>
      </c>
      <c r="C34" s="11">
        <f t="shared" si="1"/>
        <v>591099.38230600278</v>
      </c>
      <c r="D34" s="11">
        <f t="shared" si="2"/>
        <v>81056.850414664863</v>
      </c>
      <c r="E34" s="11">
        <f t="shared" si="3"/>
        <v>40939.217515198754</v>
      </c>
      <c r="F34" s="11">
        <f>SUM($E$21:E34)</f>
        <v>802352.65798932221</v>
      </c>
      <c r="G34" s="11">
        <f t="shared" si="4"/>
        <v>12000</v>
      </c>
      <c r="H34" s="11">
        <f t="shared" si="5"/>
        <v>6060.815435946226</v>
      </c>
      <c r="I34" s="11">
        <f>SUM($H$21:H34)</f>
        <v>118783.69128107544</v>
      </c>
      <c r="J34" s="11">
        <f t="shared" si="6"/>
        <v>856134.13721174293</v>
      </c>
      <c r="K34" s="11">
        <f t="shared" si="7"/>
        <v>-737350.44593066745</v>
      </c>
      <c r="L34" s="14" t="str">
        <f t="shared" si="8"/>
        <v/>
      </c>
    </row>
    <row r="35" spans="1:12" x14ac:dyDescent="0.25">
      <c r="A35" s="14">
        <v>15</v>
      </c>
      <c r="B35" s="11">
        <f t="shared" si="0"/>
        <v>1000000</v>
      </c>
      <c r="C35" s="11">
        <f t="shared" si="1"/>
        <v>568390.75561128091</v>
      </c>
      <c r="D35" s="11">
        <f t="shared" si="2"/>
        <v>81056.850414664863</v>
      </c>
      <c r="E35" s="11">
        <f t="shared" si="3"/>
        <v>38989.730966855946</v>
      </c>
      <c r="F35" s="11">
        <f>SUM($E$21:E35)</f>
        <v>841342.38895617821</v>
      </c>
      <c r="G35" s="11">
        <f t="shared" si="4"/>
        <v>12000</v>
      </c>
      <c r="H35" s="11">
        <f t="shared" si="5"/>
        <v>5772.2051770916423</v>
      </c>
      <c r="I35" s="11">
        <f>SUM($H$21:H35)</f>
        <v>124555.89645816709</v>
      </c>
      <c r="J35" s="11">
        <f t="shared" si="6"/>
        <v>892591.98859653843</v>
      </c>
      <c r="K35" s="11">
        <f t="shared" si="7"/>
        <v>-768036.09213837131</v>
      </c>
      <c r="L35" s="14" t="str">
        <f t="shared" si="8"/>
        <v/>
      </c>
    </row>
    <row r="36" spans="1:12" x14ac:dyDescent="0.25">
      <c r="A36" s="14">
        <v>16</v>
      </c>
      <c r="B36" s="11">
        <f t="shared" si="0"/>
        <v>1000000</v>
      </c>
      <c r="C36" s="11">
        <f t="shared" si="1"/>
        <v>544281.51051158109</v>
      </c>
      <c r="D36" s="11">
        <f t="shared" si="2"/>
        <v>81056.850414664863</v>
      </c>
      <c r="E36" s="11">
        <f t="shared" si="3"/>
        <v>37133.077111291379</v>
      </c>
      <c r="F36" s="11">
        <f>SUM($E$21:E36)</f>
        <v>878475.46606746956</v>
      </c>
      <c r="G36" s="11">
        <f t="shared" si="4"/>
        <v>12000</v>
      </c>
      <c r="H36" s="11">
        <f t="shared" si="5"/>
        <v>5497.3382638968023</v>
      </c>
      <c r="I36" s="11">
        <f>SUM($H$21:H36)</f>
        <v>130053.23472206389</v>
      </c>
      <c r="J36" s="11">
        <f t="shared" si="6"/>
        <v>927192.26656779216</v>
      </c>
      <c r="K36" s="11">
        <f t="shared" si="7"/>
        <v>-797139.03184572828</v>
      </c>
      <c r="L36" s="14" t="str">
        <f t="shared" si="8"/>
        <v/>
      </c>
    </row>
    <row r="37" spans="1:12" x14ac:dyDescent="0.25">
      <c r="A37" s="14">
        <v>17</v>
      </c>
      <c r="B37" s="11">
        <f t="shared" si="0"/>
        <v>1000000</v>
      </c>
      <c r="C37" s="11">
        <f t="shared" si="1"/>
        <v>518685.25992842694</v>
      </c>
      <c r="D37" s="11">
        <f t="shared" si="2"/>
        <v>81056.850414664863</v>
      </c>
      <c r="E37" s="11">
        <f t="shared" si="3"/>
        <v>35364.835344087027</v>
      </c>
      <c r="F37" s="11">
        <f>SUM($E$21:E37)</f>
        <v>913840.30141155655</v>
      </c>
      <c r="G37" s="11">
        <f t="shared" si="4"/>
        <v>12000</v>
      </c>
      <c r="H37" s="11">
        <f t="shared" si="5"/>
        <v>5235.5602513302874</v>
      </c>
      <c r="I37" s="11">
        <f>SUM($H$21:H37)</f>
        <v>135288.79497339419</v>
      </c>
      <c r="J37" s="11">
        <f t="shared" si="6"/>
        <v>960022.07587669988</v>
      </c>
      <c r="K37" s="11">
        <f t="shared" si="7"/>
        <v>-824733.28090330563</v>
      </c>
      <c r="L37" s="14" t="str">
        <f t="shared" si="8"/>
        <v/>
      </c>
    </row>
    <row r="38" spans="1:12" x14ac:dyDescent="0.25">
      <c r="A38" s="14">
        <v>18</v>
      </c>
      <c r="B38" s="11">
        <f t="shared" si="0"/>
        <v>1000000</v>
      </c>
      <c r="C38" s="11">
        <f t="shared" si="1"/>
        <v>491510.28861736786</v>
      </c>
      <c r="D38" s="11">
        <f t="shared" si="2"/>
        <v>81056.850414664863</v>
      </c>
      <c r="E38" s="11">
        <f t="shared" si="3"/>
        <v>33680.795565797169</v>
      </c>
      <c r="F38" s="11">
        <f>SUM($E$21:E38)</f>
        <v>947521.09697735368</v>
      </c>
      <c r="G38" s="11">
        <f t="shared" si="4"/>
        <v>12000</v>
      </c>
      <c r="H38" s="11">
        <f t="shared" si="5"/>
        <v>4986.247858409798</v>
      </c>
      <c r="I38" s="11">
        <f>SUM($H$21:H38)</f>
        <v>140275.04283180399</v>
      </c>
      <c r="J38" s="11">
        <f t="shared" si="6"/>
        <v>991164.35840231378</v>
      </c>
      <c r="K38" s="11">
        <f t="shared" si="7"/>
        <v>-850889.31557050976</v>
      </c>
      <c r="L38" s="14" t="str">
        <f t="shared" si="8"/>
        <v/>
      </c>
    </row>
    <row r="39" spans="1:12" x14ac:dyDescent="0.25">
      <c r="A39" s="14">
        <v>19</v>
      </c>
      <c r="B39" s="11">
        <f t="shared" si="0"/>
        <v>1000000</v>
      </c>
      <c r="C39" s="11">
        <f t="shared" si="1"/>
        <v>462659.22453836259</v>
      </c>
      <c r="D39" s="11">
        <f t="shared" si="2"/>
        <v>81056.850414664863</v>
      </c>
      <c r="E39" s="11">
        <f t="shared" si="3"/>
        <v>32076.948157902065</v>
      </c>
      <c r="F39" s="11">
        <f>SUM($E$21:E39)</f>
        <v>979598.04513525579</v>
      </c>
      <c r="G39" s="11">
        <f t="shared" si="4"/>
        <v>12000</v>
      </c>
      <c r="H39" s="11">
        <f t="shared" si="5"/>
        <v>4748.8074841998077</v>
      </c>
      <c r="I39" s="11">
        <f>SUM($H$21:H39)</f>
        <v>145023.85031600381</v>
      </c>
      <c r="J39" s="11">
        <f t="shared" si="6"/>
        <v>1020698.0912164256</v>
      </c>
      <c r="K39" s="11">
        <f t="shared" si="7"/>
        <v>-875674.24090042186</v>
      </c>
      <c r="L39" s="14" t="str">
        <f t="shared" si="8"/>
        <v/>
      </c>
    </row>
    <row r="40" spans="1:12" x14ac:dyDescent="0.25">
      <c r="A40" s="14">
        <v>20</v>
      </c>
      <c r="B40" s="11">
        <f t="shared" si="0"/>
        <v>1000000</v>
      </c>
      <c r="C40" s="11">
        <f t="shared" si="1"/>
        <v>432028.68995700218</v>
      </c>
      <c r="D40" s="11">
        <f t="shared" si="2"/>
        <v>81056.850414664863</v>
      </c>
      <c r="E40" s="11">
        <f t="shared" si="3"/>
        <v>30549.474436097204</v>
      </c>
      <c r="F40" s="11">
        <f>SUM($E$21:E40)</f>
        <v>1010147.519571353</v>
      </c>
      <c r="G40" s="11">
        <f t="shared" si="4"/>
        <v>12000</v>
      </c>
      <c r="H40" s="11">
        <f t="shared" si="5"/>
        <v>4522.6737944760071</v>
      </c>
      <c r="I40" s="11">
        <f>SUM($H$21:H40)</f>
        <v>149546.5241104798</v>
      </c>
      <c r="J40" s="11">
        <f t="shared" si="6"/>
        <v>1048698.475214927</v>
      </c>
      <c r="K40" s="11">
        <f t="shared" si="7"/>
        <v>-899151.95110444725</v>
      </c>
      <c r="L40" s="14" t="str">
        <f t="shared" si="8"/>
        <v/>
      </c>
    </row>
    <row r="41" spans="1:12" x14ac:dyDescent="0.25">
      <c r="A41" s="14">
        <v>21</v>
      </c>
      <c r="B41" s="11">
        <f t="shared" si="0"/>
        <v>1000000</v>
      </c>
      <c r="C41" s="11">
        <f t="shared" si="1"/>
        <v>399508.93102642335</v>
      </c>
      <c r="D41" s="11">
        <f t="shared" si="2"/>
        <v>81056.850414664863</v>
      </c>
      <c r="E41" s="11">
        <f t="shared" si="3"/>
        <v>29094.737558187815</v>
      </c>
      <c r="F41" s="11">
        <f>SUM($E$21:E41)</f>
        <v>1039242.2571295408</v>
      </c>
      <c r="G41" s="11">
        <f t="shared" si="4"/>
        <v>12000</v>
      </c>
      <c r="H41" s="11">
        <f t="shared" si="5"/>
        <v>4307.3083756914357</v>
      </c>
      <c r="I41" s="11">
        <f>SUM($H$21:H41)</f>
        <v>153853.83248617125</v>
      </c>
      <c r="J41" s="11">
        <f t="shared" si="6"/>
        <v>1075237.1147648487</v>
      </c>
      <c r="K41" s="11">
        <f t="shared" si="7"/>
        <v>-921383.28227867745</v>
      </c>
      <c r="L41" s="14" t="str">
        <f t="shared" si="8"/>
        <v/>
      </c>
    </row>
    <row r="42" spans="1:12" x14ac:dyDescent="0.25">
      <c r="A42" s="14">
        <v>22</v>
      </c>
      <c r="B42" s="11">
        <f t="shared" si="0"/>
        <v>1000000</v>
      </c>
      <c r="C42" s="11">
        <f t="shared" si="1"/>
        <v>364983.42452264531</v>
      </c>
      <c r="D42" s="11">
        <f t="shared" si="2"/>
        <v>81056.850414664863</v>
      </c>
      <c r="E42" s="11">
        <f t="shared" si="3"/>
        <v>27709.273864940777</v>
      </c>
      <c r="F42" s="11">
        <f>SUM($E$21:E42)</f>
        <v>1066951.5309944816</v>
      </c>
      <c r="G42" s="11">
        <f t="shared" si="4"/>
        <v>12000</v>
      </c>
      <c r="H42" s="11">
        <f t="shared" si="5"/>
        <v>4102.1984530394629</v>
      </c>
      <c r="I42" s="11">
        <f>SUM($H$21:H42)</f>
        <v>157956.0309392107</v>
      </c>
      <c r="J42" s="11">
        <f t="shared" si="6"/>
        <v>1100382.1887948771</v>
      </c>
      <c r="K42" s="11">
        <f t="shared" si="7"/>
        <v>-942426.15785566648</v>
      </c>
      <c r="L42" s="14" t="str">
        <f t="shared" si="8"/>
        <v/>
      </c>
    </row>
    <row r="43" spans="1:12" x14ac:dyDescent="0.25">
      <c r="A43" s="14">
        <v>23</v>
      </c>
      <c r="B43" s="11">
        <f t="shared" si="0"/>
        <v>1000000</v>
      </c>
      <c r="C43" s="11">
        <f t="shared" si="1"/>
        <v>328328.4603242008</v>
      </c>
      <c r="D43" s="11">
        <f t="shared" si="2"/>
        <v>81056.850414664863</v>
      </c>
      <c r="E43" s="11">
        <f t="shared" si="3"/>
        <v>26389.784633276926</v>
      </c>
      <c r="F43" s="11">
        <f>SUM($E$21:E43)</f>
        <v>1093341.3156277586</v>
      </c>
      <c r="G43" s="11">
        <f t="shared" si="4"/>
        <v>12000</v>
      </c>
      <c r="H43" s="11">
        <f t="shared" si="5"/>
        <v>3906.855669561392</v>
      </c>
      <c r="I43" s="11">
        <f>SUM($H$21:H43)</f>
        <v>161862.8866087721</v>
      </c>
      <c r="J43" s="11">
        <f t="shared" si="6"/>
        <v>1124198.6137367801</v>
      </c>
      <c r="K43" s="11">
        <f t="shared" si="7"/>
        <v>-962335.72712800803</v>
      </c>
      <c r="L43" s="14" t="str">
        <f t="shared" si="8"/>
        <v/>
      </c>
    </row>
    <row r="44" spans="1:12" x14ac:dyDescent="0.25">
      <c r="A44" s="14">
        <v>24</v>
      </c>
      <c r="B44" s="11">
        <f t="shared" si="0"/>
        <v>1000000</v>
      </c>
      <c r="C44" s="11">
        <f t="shared" si="1"/>
        <v>289412.69814002514</v>
      </c>
      <c r="D44" s="11">
        <f t="shared" si="2"/>
        <v>81056.850414664863</v>
      </c>
      <c r="E44" s="11">
        <f t="shared" si="3"/>
        <v>25133.128222168503</v>
      </c>
      <c r="F44" s="11">
        <f>SUM($E$21:E44)</f>
        <v>1118474.443849927</v>
      </c>
      <c r="G44" s="11">
        <f t="shared" si="4"/>
        <v>12000</v>
      </c>
      <c r="H44" s="11">
        <f t="shared" si="5"/>
        <v>3720.8149233918025</v>
      </c>
      <c r="I44" s="11">
        <f>SUM($H$21:H44)</f>
        <v>165583.70153216389</v>
      </c>
      <c r="J44" s="11">
        <f t="shared" si="6"/>
        <v>1146748.1987057768</v>
      </c>
      <c r="K44" s="11">
        <f t="shared" si="7"/>
        <v>-981164.49717361294</v>
      </c>
      <c r="L44" s="14" t="str">
        <f t="shared" si="8"/>
        <v/>
      </c>
    </row>
    <row r="45" spans="1:12" x14ac:dyDescent="0.25">
      <c r="A45" s="14">
        <v>25</v>
      </c>
      <c r="B45" s="11">
        <f t="shared" si="0"/>
        <v>1000000</v>
      </c>
      <c r="C45" s="11">
        <f t="shared" si="1"/>
        <v>248096.69689728925</v>
      </c>
      <c r="D45" s="11">
        <f t="shared" si="2"/>
        <v>81056.850414664863</v>
      </c>
      <c r="E45" s="11">
        <f t="shared" si="3"/>
        <v>23936.312592541432</v>
      </c>
      <c r="F45" s="11">
        <f>SUM($E$21:E45)</f>
        <v>1142410.7564424684</v>
      </c>
      <c r="G45" s="11">
        <f t="shared" si="4"/>
        <v>12000</v>
      </c>
      <c r="H45" s="11">
        <f t="shared" si="5"/>
        <v>3543.6332603731453</v>
      </c>
      <c r="I45" s="11">
        <f>SUM($H$21:H45)</f>
        <v>169127.33479253703</v>
      </c>
      <c r="J45" s="11">
        <f t="shared" si="6"/>
        <v>1168089.7932894011</v>
      </c>
      <c r="K45" s="11">
        <f t="shared" si="7"/>
        <v>-998962.45849686407</v>
      </c>
      <c r="L45" s="14" t="str">
        <f t="shared" si="8"/>
        <v/>
      </c>
    </row>
    <row r="46" spans="1:12" x14ac:dyDescent="0.25">
      <c r="A46" s="14">
        <v>26</v>
      </c>
      <c r="B46" s="11">
        <f t="shared" si="0"/>
        <v>1000000</v>
      </c>
      <c r="C46" s="11">
        <f t="shared" si="1"/>
        <v>204232.41510291211</v>
      </c>
      <c r="D46" s="11">
        <f t="shared" si="2"/>
        <v>81056.850414664863</v>
      </c>
      <c r="E46" s="11">
        <f t="shared" si="3"/>
        <v>22796.488183372792</v>
      </c>
      <c r="F46" s="11">
        <f>SUM($E$21:E46)</f>
        <v>1165207.2446258413</v>
      </c>
      <c r="G46" s="11">
        <f t="shared" si="4"/>
        <v>12000</v>
      </c>
      <c r="H46" s="11">
        <f t="shared" si="5"/>
        <v>3374.8888194029955</v>
      </c>
      <c r="I46" s="11">
        <f>SUM($H$21:H46)</f>
        <v>172502.22361194002</v>
      </c>
      <c r="J46" s="11">
        <f t="shared" si="6"/>
        <v>1188279.4282968142</v>
      </c>
      <c r="K46" s="11">
        <f t="shared" si="7"/>
        <v>-1015777.2046848742</v>
      </c>
      <c r="L46" s="14" t="str">
        <f t="shared" si="8"/>
        <v/>
      </c>
    </row>
    <row r="47" spans="1:12" x14ac:dyDescent="0.25">
      <c r="A47" s="14">
        <v>27</v>
      </c>
      <c r="B47" s="11">
        <f t="shared" si="0"/>
        <v>1000000</v>
      </c>
      <c r="C47" s="11">
        <f t="shared" si="1"/>
        <v>157662.68038844969</v>
      </c>
      <c r="D47" s="11">
        <f t="shared" si="2"/>
        <v>81056.850414664863</v>
      </c>
      <c r="E47" s="11">
        <f t="shared" si="3"/>
        <v>21710.941127021702</v>
      </c>
      <c r="F47" s="11">
        <f>SUM($E$21:E47)</f>
        <v>1186918.1857528631</v>
      </c>
      <c r="G47" s="11">
        <f t="shared" si="4"/>
        <v>12000</v>
      </c>
      <c r="H47" s="11">
        <f t="shared" si="5"/>
        <v>3214.1798280028524</v>
      </c>
      <c r="I47" s="11">
        <f>SUM($H$21:H47)</f>
        <v>175716.40343994286</v>
      </c>
      <c r="J47" s="11">
        <f t="shared" si="6"/>
        <v>1207370.4498037577</v>
      </c>
      <c r="K47" s="11">
        <f t="shared" si="7"/>
        <v>-1031654.0463638149</v>
      </c>
      <c r="L47" s="14" t="str">
        <f t="shared" si="8"/>
        <v/>
      </c>
    </row>
    <row r="48" spans="1:12" x14ac:dyDescent="0.25">
      <c r="A48" s="14">
        <v>28</v>
      </c>
      <c r="B48" s="11">
        <f t="shared" si="0"/>
        <v>1000000</v>
      </c>
      <c r="C48" s="11">
        <f t="shared" si="1"/>
        <v>108220.62633768842</v>
      </c>
      <c r="D48" s="11">
        <f t="shared" si="2"/>
        <v>81056.850414664863</v>
      </c>
      <c r="E48" s="11">
        <f t="shared" si="3"/>
        <v>20677.086787639721</v>
      </c>
      <c r="F48" s="11">
        <f>SUM($E$21:E48)</f>
        <v>1207595.2725405027</v>
      </c>
      <c r="G48" s="11">
        <f t="shared" si="4"/>
        <v>12000</v>
      </c>
      <c r="H48" s="11">
        <f t="shared" si="5"/>
        <v>3061.1236457170025</v>
      </c>
      <c r="I48" s="11">
        <f>SUM($H$21:H48)</f>
        <v>178777.52708565988</v>
      </c>
      <c r="J48" s="11">
        <f t="shared" si="6"/>
        <v>1225413.6468123877</v>
      </c>
      <c r="K48" s="11">
        <f t="shared" si="7"/>
        <v>-1046636.1197267278</v>
      </c>
      <c r="L48" s="14" t="str">
        <f t="shared" si="8"/>
        <v/>
      </c>
    </row>
    <row r="49" spans="1:12" x14ac:dyDescent="0.25">
      <c r="A49" s="14">
        <v>29</v>
      </c>
      <c r="B49" s="11">
        <f t="shared" si="0"/>
        <v>1000000</v>
      </c>
      <c r="C49" s="11">
        <f t="shared" si="1"/>
        <v>55729.094578989781</v>
      </c>
      <c r="D49" s="11">
        <f t="shared" si="2"/>
        <v>81056.850414664863</v>
      </c>
      <c r="E49" s="11">
        <f t="shared" si="3"/>
        <v>19692.46360727592</v>
      </c>
      <c r="F49" s="11">
        <f>SUM($E$21:E49)</f>
        <v>1227287.7361477786</v>
      </c>
      <c r="G49" s="11">
        <f t="shared" si="4"/>
        <v>12000</v>
      </c>
      <c r="H49" s="11">
        <f t="shared" si="5"/>
        <v>2915.3558530638115</v>
      </c>
      <c r="I49" s="11">
        <f>SUM($H$21:H49)</f>
        <v>181692.88293872369</v>
      </c>
      <c r="J49" s="11">
        <f t="shared" si="6"/>
        <v>1242457.3728300137</v>
      </c>
      <c r="K49" s="11">
        <f t="shared" si="7"/>
        <v>-1060764.48989129</v>
      </c>
      <c r="L49" s="14" t="str">
        <f t="shared" si="8"/>
        <v/>
      </c>
    </row>
    <row r="50" spans="1:12" x14ac:dyDescent="0.25">
      <c r="A50" s="14">
        <v>30</v>
      </c>
      <c r="B50" s="11">
        <f t="shared" si="0"/>
        <v>1000000</v>
      </c>
      <c r="C50" s="11">
        <f t="shared" si="1"/>
        <v>0</v>
      </c>
      <c r="D50" s="11">
        <f t="shared" si="2"/>
        <v>81056.850414664863</v>
      </c>
      <c r="E50" s="11">
        <f t="shared" si="3"/>
        <v>18754.727245024693</v>
      </c>
      <c r="F50" s="11">
        <f>SUM($E$21:E50)</f>
        <v>1246042.4633928032</v>
      </c>
      <c r="G50" s="11">
        <f t="shared" si="4"/>
        <v>12000</v>
      </c>
      <c r="H50" s="11">
        <f t="shared" si="5"/>
        <v>2776.5293838702978</v>
      </c>
      <c r="I50" s="11">
        <f>SUM($H$21:H50)</f>
        <v>184469.412322594</v>
      </c>
      <c r="J50" s="11">
        <f t="shared" si="6"/>
        <v>1258547.6616562966</v>
      </c>
      <c r="K50" s="11">
        <f t="shared" si="7"/>
        <v>-1074078.2493337025</v>
      </c>
      <c r="L50" s="14" t="str">
        <f t="shared" si="8"/>
        <v/>
      </c>
    </row>
  </sheetData>
  <mergeCells count="1">
    <mergeCell ref="A2:L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0"/>
  <sheetViews>
    <sheetView workbookViewId="0">
      <pane ySplit="20" topLeftCell="A21" activePane="bottomLeft" state="frozen"/>
      <selection pane="bottomLeft"/>
    </sheetView>
  </sheetViews>
  <sheetFormatPr defaultRowHeight="15" x14ac:dyDescent="0.25"/>
  <cols>
    <col min="1" max="1" width="27" customWidth="1"/>
    <col min="2" max="3" width="15" customWidth="1"/>
    <col min="4" max="4" width="30" customWidth="1"/>
    <col min="5" max="5" width="17" customWidth="1"/>
    <col min="6" max="6" width="15" customWidth="1"/>
    <col min="7" max="7" width="17" customWidth="1"/>
    <col min="8" max="10" width="15" customWidth="1"/>
    <col min="11" max="11" width="17" customWidth="1"/>
    <col min="12" max="12" width="11" customWidth="1"/>
  </cols>
  <sheetData>
    <row r="1" spans="1:12" ht="16.5" x14ac:dyDescent="0.25">
      <c r="A1" s="1" t="s">
        <v>117</v>
      </c>
    </row>
    <row r="2" spans="1:12" ht="48" customHeight="1" x14ac:dyDescent="0.25">
      <c r="A2" s="22" t="s">
        <v>118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t="s">
        <v>54</v>
      </c>
      <c r="D3" t="s">
        <v>55</v>
      </c>
    </row>
    <row r="4" spans="1:12" x14ac:dyDescent="0.25">
      <c r="A4" s="2" t="s">
        <v>56</v>
      </c>
      <c r="B4" s="10">
        <v>300000</v>
      </c>
      <c r="D4" s="2" t="s">
        <v>57</v>
      </c>
      <c r="E4" s="11">
        <f>(1-$B$6)*$B$4</f>
        <v>240000</v>
      </c>
    </row>
    <row r="5" spans="1:12" x14ac:dyDescent="0.25">
      <c r="A5" s="2" t="s">
        <v>58</v>
      </c>
      <c r="B5" s="10">
        <v>1200</v>
      </c>
      <c r="D5" s="2" t="s">
        <v>59</v>
      </c>
      <c r="E5" s="12">
        <f>$B$7/12</f>
        <v>5.0000000000000001E-3</v>
      </c>
    </row>
    <row r="6" spans="1:12" x14ac:dyDescent="0.25">
      <c r="A6" s="2" t="s">
        <v>60</v>
      </c>
      <c r="B6" s="13">
        <v>0.2</v>
      </c>
      <c r="D6" s="2" t="s">
        <v>61</v>
      </c>
      <c r="E6" s="14">
        <f>12*$B$8</f>
        <v>360</v>
      </c>
    </row>
    <row r="7" spans="1:12" x14ac:dyDescent="0.25">
      <c r="A7" s="2" t="s">
        <v>62</v>
      </c>
      <c r="B7" s="15">
        <v>0.06</v>
      </c>
      <c r="D7" s="2" t="s">
        <v>63</v>
      </c>
      <c r="E7" s="11">
        <f>IF($E$4=0,0,IF($E$5=0,$E$4/$E$6,$E$4*$E$5*(1+$E$5)^$E$6/((1+$E$5)^$E$6-1)))</f>
        <v>1438.9212603666213</v>
      </c>
      <c r="H7" s="10">
        <v>1438.9212603666169</v>
      </c>
      <c r="I7" s="2" t="str">
        <f>IF(ABS(E7-H7)&lt;0.01,"PASS","FAIL")</f>
        <v>PASS</v>
      </c>
    </row>
    <row r="8" spans="1:12" x14ac:dyDescent="0.25">
      <c r="A8" s="2" t="s">
        <v>64</v>
      </c>
      <c r="B8" s="16">
        <v>30</v>
      </c>
      <c r="G8" s="17" t="s">
        <v>65</v>
      </c>
      <c r="H8" s="17" t="s">
        <v>66</v>
      </c>
      <c r="I8" s="17" t="s">
        <v>67</v>
      </c>
      <c r="J8" s="17" t="s">
        <v>68</v>
      </c>
    </row>
    <row r="9" spans="1:12" x14ac:dyDescent="0.25">
      <c r="A9" s="2" t="s">
        <v>69</v>
      </c>
      <c r="B9" s="16">
        <v>7</v>
      </c>
      <c r="D9" s="2" t="s">
        <v>70</v>
      </c>
      <c r="E9" s="11">
        <f>INDEX(J21:J50,$B$9)</f>
        <v>119722.01325979533</v>
      </c>
      <c r="H9" s="10">
        <v>119722.0132597951</v>
      </c>
      <c r="I9" s="2" t="str">
        <f>IF(ABS(E9-H9)&lt;0.01,"PASS","FAIL")</f>
        <v>PASS</v>
      </c>
    </row>
    <row r="10" spans="1:12" x14ac:dyDescent="0.25">
      <c r="A10" s="2" t="s">
        <v>71</v>
      </c>
      <c r="B10" s="13">
        <v>0.01</v>
      </c>
      <c r="D10" s="2" t="s">
        <v>72</v>
      </c>
      <c r="E10" s="11">
        <f>INDEX(I21:I50,$B$9)</f>
        <v>90685.155907857057</v>
      </c>
      <c r="H10" s="10">
        <v>90685.155907857057</v>
      </c>
      <c r="I10" s="2" t="str">
        <f>IF(ABS(E10-H10)&lt;0.01,"PASS","FAIL")</f>
        <v>PASS</v>
      </c>
    </row>
    <row r="11" spans="1:12" x14ac:dyDescent="0.25">
      <c r="A11" s="2" t="s">
        <v>73</v>
      </c>
      <c r="B11" s="13">
        <v>0.01</v>
      </c>
      <c r="D11" s="3" t="s">
        <v>74</v>
      </c>
      <c r="E11" s="18">
        <f>INDEX(K21:K50,$B$9)</f>
        <v>-29036.857351938277</v>
      </c>
      <c r="H11" s="10">
        <v>-29036.857351938041</v>
      </c>
      <c r="I11" s="2" t="str">
        <f>IF(ABS(E11-H11)&lt;0.01,"PASS","FAIL")</f>
        <v>PASS</v>
      </c>
    </row>
    <row r="12" spans="1:12" x14ac:dyDescent="0.25">
      <c r="A12" s="2" t="s">
        <v>75</v>
      </c>
      <c r="B12" s="13">
        <v>3.5000000000000001E-3</v>
      </c>
      <c r="D12" s="2" t="s">
        <v>76</v>
      </c>
      <c r="E12" s="19" t="str">
        <f>IF(E11&gt;=0,"buy","rent")</f>
        <v>rent</v>
      </c>
      <c r="H12" s="20" t="s">
        <v>113</v>
      </c>
      <c r="I12" s="2" t="str">
        <f>IF(E12=H12,"PASS","FAIL")</f>
        <v>PASS</v>
      </c>
    </row>
    <row r="13" spans="1:12" x14ac:dyDescent="0.25">
      <c r="A13" s="2" t="s">
        <v>78</v>
      </c>
      <c r="B13" s="13">
        <v>0.03</v>
      </c>
      <c r="D13" s="2" t="s">
        <v>79</v>
      </c>
      <c r="E13" s="14" t="str">
        <f>IF(COUNT(L21:L50)=0,"never",MIN(L21:L50))</f>
        <v>never</v>
      </c>
      <c r="H13" s="16" t="s">
        <v>116</v>
      </c>
      <c r="I13" s="2" t="str">
        <f>IF(E13=H13,"PASS","FAIL")</f>
        <v>PASS</v>
      </c>
    </row>
    <row r="14" spans="1:12" x14ac:dyDescent="0.25">
      <c r="A14" s="2" t="s">
        <v>80</v>
      </c>
      <c r="B14" s="13">
        <v>0.06</v>
      </c>
      <c r="D14" s="2" t="s">
        <v>81</v>
      </c>
      <c r="E14" s="11">
        <f>($B$15+$B$10+$B$11+$B$12-$B$16)*$B$4</f>
        <v>13050.000000000004</v>
      </c>
      <c r="G14" s="10">
        <v>13050</v>
      </c>
      <c r="H14" s="10">
        <v>13050</v>
      </c>
      <c r="I14" s="2" t="str">
        <f>IF(ABS(E14-H14)&lt;0.01,"PASS","FAIL")</f>
        <v>PASS</v>
      </c>
      <c r="J14" s="2" t="str">
        <f>IF(ABS(E14-G14)&lt;0.01,"PASS","FAIL")</f>
        <v>PASS</v>
      </c>
    </row>
    <row r="15" spans="1:12" x14ac:dyDescent="0.25">
      <c r="A15" s="2" t="s">
        <v>82</v>
      </c>
      <c r="B15" s="13">
        <v>0.05</v>
      </c>
      <c r="D15" s="2" t="s">
        <v>83</v>
      </c>
      <c r="E15" s="11">
        <f>12*$B$5</f>
        <v>14400</v>
      </c>
      <c r="H15" s="10">
        <v>14400</v>
      </c>
      <c r="I15" s="2" t="str">
        <f>IF(ABS(E15-H15)&lt;0.01,"PASS","FAIL")</f>
        <v>PASS</v>
      </c>
    </row>
    <row r="16" spans="1:12" x14ac:dyDescent="0.25">
      <c r="A16" s="2" t="s">
        <v>84</v>
      </c>
      <c r="B16" s="13">
        <v>0.03</v>
      </c>
      <c r="D16" s="2" t="s">
        <v>85</v>
      </c>
      <c r="E16" s="11">
        <f>INDEX(C21:C50,$B$9)</f>
        <v>215134.52613815005</v>
      </c>
      <c r="H16" s="10">
        <v>215134.52613815019</v>
      </c>
      <c r="I16" s="2" t="str">
        <f>IF(ABS(E16-H16)&lt;0.01,"PASS","FAIL")</f>
        <v>PASS</v>
      </c>
    </row>
    <row r="17" spans="1:12" x14ac:dyDescent="0.25">
      <c r="A17" s="2" t="s">
        <v>86</v>
      </c>
      <c r="B17" s="13">
        <v>0.03</v>
      </c>
      <c r="G17" s="5" t="s">
        <v>87</v>
      </c>
    </row>
    <row r="19" spans="1:12" x14ac:dyDescent="0.25">
      <c r="A19" s="3" t="s">
        <v>88</v>
      </c>
    </row>
    <row r="20" spans="1:12" ht="30" customHeight="1" x14ac:dyDescent="0.25">
      <c r="A20" s="21" t="s">
        <v>89</v>
      </c>
      <c r="B20" s="21" t="s">
        <v>90</v>
      </c>
      <c r="C20" s="21" t="s">
        <v>91</v>
      </c>
      <c r="D20" s="21" t="s">
        <v>92</v>
      </c>
      <c r="E20" s="21" t="s">
        <v>93</v>
      </c>
      <c r="F20" s="21" t="s">
        <v>94</v>
      </c>
      <c r="G20" s="21" t="s">
        <v>95</v>
      </c>
      <c r="H20" s="21" t="s">
        <v>96</v>
      </c>
      <c r="I20" s="21" t="s">
        <v>97</v>
      </c>
      <c r="J20" s="21" t="s">
        <v>98</v>
      </c>
      <c r="K20" s="21" t="s">
        <v>99</v>
      </c>
      <c r="L20" s="21" t="s">
        <v>100</v>
      </c>
    </row>
    <row r="21" spans="1:12" x14ac:dyDescent="0.25">
      <c r="A21" s="14">
        <v>1</v>
      </c>
      <c r="B21" s="11">
        <f t="shared" ref="B21:B50" si="0">$B$4*(1+$B$16)^A21</f>
        <v>309000</v>
      </c>
      <c r="C21" s="11">
        <f t="shared" ref="C21:C50" si="1">IF(OR($E$4=0,A21&gt;=$B$8),0,IF($E$5=0,$E$4-12*A21*$E$7,$E$4*(1+$E$5)^(12*A21)-$E$7*((1+$E$5)^(12*A21)-1)/$E$5))</f>
        <v>237052.77189053578</v>
      </c>
      <c r="D21" s="11">
        <f t="shared" ref="D21:D50" si="2">IF(A21&lt;=$B$8,12*$E$7,0)+($B$10+$B$11+$B$12)*$B$4*(1+$B$16)^(A21-1)</f>
        <v>24317.055124399456</v>
      </c>
      <c r="E21" s="11">
        <f t="shared" ref="E21:E50" si="3">D21/(1+$B$15)^A21</f>
        <v>23159.100118475671</v>
      </c>
      <c r="F21" s="11">
        <f>SUM($E$21:E21)</f>
        <v>23159.100118475671</v>
      </c>
      <c r="G21" s="11">
        <f t="shared" ref="G21:G50" si="4">12*$B$5*(1+$B$17)^(A21-1)</f>
        <v>14400</v>
      </c>
      <c r="H21" s="11">
        <f t="shared" ref="H21:H50" si="5">G21/(1+$B$15)^A21</f>
        <v>13714.285714285714</v>
      </c>
      <c r="I21" s="11">
        <f>SUM($H$21:H21)</f>
        <v>13714.285714285714</v>
      </c>
      <c r="J21" s="11">
        <f t="shared" ref="J21:J50" si="6">($B$6+$B$13)*$B$4+F21-(B21*(1-$B$14)-C21)/(1+$B$15)^A21</f>
        <v>41295.073347557365</v>
      </c>
      <c r="K21" s="11">
        <f t="shared" ref="K21:K50" si="7">I21-J21</f>
        <v>-27580.787633271651</v>
      </c>
      <c r="L21" s="14" t="str">
        <f t="shared" ref="L21:L50" si="8">IF(K21&gt;=0,A21,"")</f>
        <v/>
      </c>
    </row>
    <row r="22" spans="1:12" x14ac:dyDescent="0.25">
      <c r="A22" s="14">
        <v>2</v>
      </c>
      <c r="B22" s="11">
        <f t="shared" si="0"/>
        <v>318270</v>
      </c>
      <c r="C22" s="11">
        <f t="shared" si="1"/>
        <v>233923.76520021429</v>
      </c>
      <c r="D22" s="11">
        <f t="shared" si="2"/>
        <v>24528.555124399456</v>
      </c>
      <c r="E22" s="11">
        <f t="shared" si="3"/>
        <v>22248.122561813565</v>
      </c>
      <c r="F22" s="11">
        <f>SUM($E$21:E22)</f>
        <v>45407.22268028924</v>
      </c>
      <c r="G22" s="11">
        <f t="shared" si="4"/>
        <v>14832</v>
      </c>
      <c r="H22" s="11">
        <f t="shared" si="5"/>
        <v>13453.061224489795</v>
      </c>
      <c r="I22" s="11">
        <f>SUM($H$21:H22)</f>
        <v>27167.34693877551</v>
      </c>
      <c r="J22" s="11">
        <f t="shared" si="6"/>
        <v>55223.517646470013</v>
      </c>
      <c r="K22" s="11">
        <f t="shared" si="7"/>
        <v>-28056.170707694502</v>
      </c>
      <c r="L22" s="14" t="str">
        <f t="shared" si="8"/>
        <v/>
      </c>
    </row>
    <row r="23" spans="1:12" x14ac:dyDescent="0.25">
      <c r="A23" s="14">
        <v>3</v>
      </c>
      <c r="B23" s="11">
        <f t="shared" si="0"/>
        <v>327818.09999999998</v>
      </c>
      <c r="C23" s="11">
        <f t="shared" si="1"/>
        <v>230601.76822392436</v>
      </c>
      <c r="D23" s="11">
        <f t="shared" si="2"/>
        <v>24746.400124399457</v>
      </c>
      <c r="E23" s="11">
        <f t="shared" si="3"/>
        <v>21376.870855760244</v>
      </c>
      <c r="F23" s="11">
        <f>SUM($E$21:E23)</f>
        <v>66784.093536049477</v>
      </c>
      <c r="G23" s="11">
        <f t="shared" si="4"/>
        <v>15276.96</v>
      </c>
      <c r="H23" s="11">
        <f t="shared" si="5"/>
        <v>13196.812439261417</v>
      </c>
      <c r="I23" s="11">
        <f>SUM($H$21:H23)</f>
        <v>40364.159378036929</v>
      </c>
      <c r="J23" s="11">
        <f t="shared" si="6"/>
        <v>68795.866972114178</v>
      </c>
      <c r="K23" s="11">
        <f t="shared" si="7"/>
        <v>-28431.707594077248</v>
      </c>
      <c r="L23" s="14" t="str">
        <f t="shared" si="8"/>
        <v/>
      </c>
    </row>
    <row r="24" spans="1:12" x14ac:dyDescent="0.25">
      <c r="A24" s="14">
        <v>4</v>
      </c>
      <c r="B24" s="11">
        <f t="shared" si="0"/>
        <v>337652.64299999998</v>
      </c>
      <c r="C24" s="11">
        <f t="shared" si="1"/>
        <v>227074.87774311638</v>
      </c>
      <c r="D24" s="11">
        <f t="shared" si="2"/>
        <v>24970.780474399457</v>
      </c>
      <c r="E24" s="11">
        <f t="shared" si="3"/>
        <v>20543.522893773239</v>
      </c>
      <c r="F24" s="11">
        <f>SUM($E$21:E24)</f>
        <v>87327.616429822723</v>
      </c>
      <c r="G24" s="11">
        <f t="shared" si="4"/>
        <v>15735.2688</v>
      </c>
      <c r="H24" s="11">
        <f t="shared" si="5"/>
        <v>12945.444583275486</v>
      </c>
      <c r="I24" s="11">
        <f>SUM($H$21:H24)</f>
        <v>53309.603961312416</v>
      </c>
      <c r="J24" s="11">
        <f t="shared" si="6"/>
        <v>82022.275196995979</v>
      </c>
      <c r="K24" s="11">
        <f t="shared" si="7"/>
        <v>-28712.671235683563</v>
      </c>
      <c r="L24" s="14" t="str">
        <f t="shared" si="8"/>
        <v/>
      </c>
    </row>
    <row r="25" spans="1:12" x14ac:dyDescent="0.25">
      <c r="A25" s="14">
        <v>5</v>
      </c>
      <c r="B25" s="11">
        <f t="shared" si="0"/>
        <v>347782.22228999995</v>
      </c>
      <c r="C25" s="11">
        <f t="shared" si="1"/>
        <v>223330.45637476648</v>
      </c>
      <c r="D25" s="11">
        <f t="shared" si="2"/>
        <v>25201.892234899457</v>
      </c>
      <c r="E25" s="11">
        <f t="shared" si="3"/>
        <v>19746.342010561995</v>
      </c>
      <c r="F25" s="11">
        <f>SUM($E$21:E25)</f>
        <v>107073.95844038471</v>
      </c>
      <c r="G25" s="11">
        <f t="shared" si="4"/>
        <v>16207.326863999999</v>
      </c>
      <c r="H25" s="11">
        <f t="shared" si="5"/>
        <v>12698.86468645119</v>
      </c>
      <c r="I25" s="11">
        <f>SUM($H$21:H25)</f>
        <v>66008.468647763599</v>
      </c>
      <c r="J25" s="11">
        <f t="shared" si="6"/>
        <v>94912.531666397743</v>
      </c>
      <c r="K25" s="11">
        <f t="shared" si="7"/>
        <v>-28904.063018634144</v>
      </c>
      <c r="L25" s="14" t="str">
        <f t="shared" si="8"/>
        <v/>
      </c>
    </row>
    <row r="26" spans="1:12" x14ac:dyDescent="0.25">
      <c r="A26" s="14">
        <v>6</v>
      </c>
      <c r="B26" s="11">
        <f t="shared" si="0"/>
        <v>358215.68895869999</v>
      </c>
      <c r="C26" s="11">
        <f t="shared" si="1"/>
        <v>219355.08728971804</v>
      </c>
      <c r="D26" s="11">
        <f t="shared" si="2"/>
        <v>25439.937348214455</v>
      </c>
      <c r="E26" s="11">
        <f t="shared" si="3"/>
        <v>18983.672938708805</v>
      </c>
      <c r="F26" s="11">
        <f>SUM($E$21:E26)</f>
        <v>126057.63137909351</v>
      </c>
      <c r="G26" s="11">
        <f t="shared" si="4"/>
        <v>16693.546669919997</v>
      </c>
      <c r="H26" s="11">
        <f t="shared" si="5"/>
        <v>12456.981549566406</v>
      </c>
      <c r="I26" s="11">
        <f>SUM($H$21:H26)</f>
        <v>78465.450197330007</v>
      </c>
      <c r="J26" s="11">
        <f t="shared" si="6"/>
        <v>107476.07617254014</v>
      </c>
      <c r="K26" s="11">
        <f t="shared" si="7"/>
        <v>-29010.625975210132</v>
      </c>
      <c r="L26" s="14" t="str">
        <f t="shared" si="8"/>
        <v/>
      </c>
    </row>
    <row r="27" spans="1:12" x14ac:dyDescent="0.25">
      <c r="A27" s="14">
        <v>7</v>
      </c>
      <c r="B27" s="11">
        <f t="shared" si="0"/>
        <v>368962.15962746099</v>
      </c>
      <c r="C27" s="11">
        <f t="shared" si="1"/>
        <v>215134.52613815005</v>
      </c>
      <c r="D27" s="11">
        <f t="shared" si="2"/>
        <v>25685.123814928906</v>
      </c>
      <c r="E27" s="11">
        <f t="shared" si="3"/>
        <v>18253.937957350536</v>
      </c>
      <c r="F27" s="11">
        <f>SUM($E$21:E27)</f>
        <v>144311.56933644405</v>
      </c>
      <c r="G27" s="11">
        <f t="shared" si="4"/>
        <v>17194.353070017598</v>
      </c>
      <c r="H27" s="11">
        <f t="shared" si="5"/>
        <v>12219.705710527043</v>
      </c>
      <c r="I27" s="11">
        <f>SUM($H$21:H27)</f>
        <v>90685.155907857057</v>
      </c>
      <c r="J27" s="11">
        <f t="shared" si="6"/>
        <v>119722.01325979533</v>
      </c>
      <c r="K27" s="11">
        <f t="shared" si="7"/>
        <v>-29036.857351938277</v>
      </c>
      <c r="L27" s="14" t="str">
        <f t="shared" si="8"/>
        <v/>
      </c>
    </row>
    <row r="28" spans="1:12" x14ac:dyDescent="0.25">
      <c r="A28" s="14">
        <v>8</v>
      </c>
      <c r="B28" s="11">
        <f t="shared" si="0"/>
        <v>380031.02441628475</v>
      </c>
      <c r="C28" s="11">
        <f t="shared" si="1"/>
        <v>210653.65000991308</v>
      </c>
      <c r="D28" s="11">
        <f t="shared" si="2"/>
        <v>25937.665875644787</v>
      </c>
      <c r="E28" s="11">
        <f t="shared" si="3"/>
        <v>17555.633223784669</v>
      </c>
      <c r="F28" s="11">
        <f>SUM($E$21:E28)</f>
        <v>161867.20256022873</v>
      </c>
      <c r="G28" s="11">
        <f t="shared" si="4"/>
        <v>17710.183662118128</v>
      </c>
      <c r="H28" s="11">
        <f t="shared" si="5"/>
        <v>11986.949411278913</v>
      </c>
      <c r="I28" s="11">
        <f>SUM($H$21:H28)</f>
        <v>102672.10531913597</v>
      </c>
      <c r="J28" s="11">
        <f t="shared" si="6"/>
        <v>131659.12589194765</v>
      </c>
      <c r="K28" s="11">
        <f t="shared" si="7"/>
        <v>-28987.020572811685</v>
      </c>
      <c r="L28" s="14" t="str">
        <f t="shared" si="8"/>
        <v/>
      </c>
    </row>
    <row r="29" spans="1:12" x14ac:dyDescent="0.25">
      <c r="A29" s="14">
        <v>9</v>
      </c>
      <c r="B29" s="11">
        <f t="shared" si="0"/>
        <v>391431.95514877333</v>
      </c>
      <c r="C29" s="11">
        <f t="shared" si="1"/>
        <v>205896.40324685059</v>
      </c>
      <c r="D29" s="11">
        <f t="shared" si="2"/>
        <v>26197.784198182148</v>
      </c>
      <c r="E29" s="11">
        <f t="shared" si="3"/>
        <v>16887.325279297929</v>
      </c>
      <c r="F29" s="11">
        <f>SUM($E$21:E29)</f>
        <v>178754.52783952665</v>
      </c>
      <c r="G29" s="11">
        <f t="shared" si="4"/>
        <v>18241.48917198167</v>
      </c>
      <c r="H29" s="11">
        <f t="shared" si="5"/>
        <v>11758.626565349789</v>
      </c>
      <c r="I29" s="11">
        <f>SUM($H$21:H29)</f>
        <v>114430.73188448575</v>
      </c>
      <c r="J29" s="11">
        <f t="shared" si="6"/>
        <v>143295.8885110452</v>
      </c>
      <c r="K29" s="11">
        <f t="shared" si="7"/>
        <v>-28865.156626559445</v>
      </c>
      <c r="L29" s="14" t="str">
        <f t="shared" si="8"/>
        <v/>
      </c>
    </row>
    <row r="30" spans="1:12" x14ac:dyDescent="0.25">
      <c r="A30" s="14">
        <v>10</v>
      </c>
      <c r="B30" s="11">
        <f t="shared" si="0"/>
        <v>403174.91380323656</v>
      </c>
      <c r="C30" s="11">
        <f t="shared" si="1"/>
        <v>200845.7399129429</v>
      </c>
      <c r="D30" s="11">
        <f t="shared" si="2"/>
        <v>26465.70607039563</v>
      </c>
      <c r="E30" s="11">
        <f t="shared" si="3"/>
        <v>16247.647720930005</v>
      </c>
      <c r="F30" s="11">
        <f>SUM($E$21:E30)</f>
        <v>195002.17556045664</v>
      </c>
      <c r="G30" s="11">
        <f t="shared" si="4"/>
        <v>18788.73384714112</v>
      </c>
      <c r="H30" s="11">
        <f t="shared" si="5"/>
        <v>11534.652726009792</v>
      </c>
      <c r="I30" s="11">
        <f>SUM($H$21:H30)</f>
        <v>125965.38461049554</v>
      </c>
      <c r="J30" s="11">
        <f t="shared" si="6"/>
        <v>154640.47951599001</v>
      </c>
      <c r="K30" s="11">
        <f t="shared" si="7"/>
        <v>-28675.094905494465</v>
      </c>
      <c r="L30" s="14" t="str">
        <f t="shared" si="8"/>
        <v/>
      </c>
    </row>
    <row r="31" spans="1:12" x14ac:dyDescent="0.25">
      <c r="A31" s="14">
        <v>11</v>
      </c>
      <c r="B31" s="11">
        <f t="shared" si="0"/>
        <v>415270.16121733363</v>
      </c>
      <c r="C31" s="11">
        <f t="shared" si="1"/>
        <v>195483.56271613552</v>
      </c>
      <c r="D31" s="11">
        <f t="shared" si="2"/>
        <v>26741.665598775515</v>
      </c>
      <c r="E31" s="11">
        <f t="shared" si="3"/>
        <v>15635.298031279308</v>
      </c>
      <c r="F31" s="11">
        <f>SUM($E$21:E31)</f>
        <v>210637.47359173594</v>
      </c>
      <c r="G31" s="11">
        <f t="shared" si="4"/>
        <v>19352.395862555353</v>
      </c>
      <c r="H31" s="11">
        <f t="shared" si="5"/>
        <v>11314.945055038177</v>
      </c>
      <c r="I31" s="11">
        <f>SUM($H$21:H31)</f>
        <v>137280.32966553373</v>
      </c>
      <c r="J31" s="11">
        <f t="shared" si="6"/>
        <v>165700.79318769084</v>
      </c>
      <c r="K31" s="11">
        <f t="shared" si="7"/>
        <v>-28420.463522157108</v>
      </c>
      <c r="L31" s="14" t="str">
        <f t="shared" si="8"/>
        <v/>
      </c>
    </row>
    <row r="32" spans="1:12" x14ac:dyDescent="0.25">
      <c r="A32" s="14">
        <v>12</v>
      </c>
      <c r="B32" s="11">
        <f t="shared" si="0"/>
        <v>427728.26605385361</v>
      </c>
      <c r="C32" s="11">
        <f t="shared" si="1"/>
        <v>189790.65816299943</v>
      </c>
      <c r="D32" s="11">
        <f t="shared" si="2"/>
        <v>27025.903913006798</v>
      </c>
      <c r="E32" s="11">
        <f t="shared" si="3"/>
        <v>15049.034558833508</v>
      </c>
      <c r="F32" s="11">
        <f>SUM($E$21:E32)</f>
        <v>225686.50815056945</v>
      </c>
      <c r="G32" s="11">
        <f t="shared" si="4"/>
        <v>19932.967738432017</v>
      </c>
      <c r="H32" s="11">
        <f t="shared" si="5"/>
        <v>11099.422292085072</v>
      </c>
      <c r="I32" s="11">
        <f>SUM($H$21:H32)</f>
        <v>148379.75195761881</v>
      </c>
      <c r="J32" s="11">
        <f t="shared" si="6"/>
        <v>176484.45108634126</v>
      </c>
      <c r="K32" s="11">
        <f t="shared" si="7"/>
        <v>-28104.699128722452</v>
      </c>
      <c r="L32" s="14" t="str">
        <f t="shared" si="8"/>
        <v/>
      </c>
    </row>
    <row r="33" spans="1:12" x14ac:dyDescent="0.25">
      <c r="A33" s="14">
        <v>13</v>
      </c>
      <c r="B33" s="11">
        <f t="shared" si="0"/>
        <v>440560.11403546919</v>
      </c>
      <c r="C33" s="11">
        <f t="shared" si="1"/>
        <v>183746.62771387241</v>
      </c>
      <c r="D33" s="11">
        <f t="shared" si="2"/>
        <v>27318.669376665013</v>
      </c>
      <c r="E33" s="11">
        <f t="shared" si="3"/>
        <v>14487.67364166524</v>
      </c>
      <c r="F33" s="11">
        <f>SUM($E$21:E33)</f>
        <v>240174.18179223468</v>
      </c>
      <c r="G33" s="11">
        <f t="shared" si="4"/>
        <v>20530.956770584973</v>
      </c>
      <c r="H33" s="11">
        <f t="shared" si="5"/>
        <v>10888.00472461678</v>
      </c>
      <c r="I33" s="11">
        <f>SUM($H$21:H33)</f>
        <v>159267.75668223557</v>
      </c>
      <c r="J33" s="11">
        <f t="shared" si="6"/>
        <v>186998.81294518264</v>
      </c>
      <c r="K33" s="11">
        <f t="shared" si="7"/>
        <v>-27731.056262947066</v>
      </c>
      <c r="L33" s="14" t="str">
        <f t="shared" si="8"/>
        <v/>
      </c>
    </row>
    <row r="34" spans="1:12" x14ac:dyDescent="0.25">
      <c r="A34" s="14">
        <v>14</v>
      </c>
      <c r="B34" s="11">
        <f t="shared" si="0"/>
        <v>453776.91745653329</v>
      </c>
      <c r="C34" s="11">
        <f t="shared" si="1"/>
        <v>177329.81469180086</v>
      </c>
      <c r="D34" s="11">
        <f t="shared" si="2"/>
        <v>27620.217804232983</v>
      </c>
      <c r="E34" s="11">
        <f t="shared" si="3"/>
        <v>13950.086867674338</v>
      </c>
      <c r="F34" s="11">
        <f>SUM($E$21:E34)</f>
        <v>254124.26865990902</v>
      </c>
      <c r="G34" s="11">
        <f t="shared" si="4"/>
        <v>21146.885473702521</v>
      </c>
      <c r="H34" s="11">
        <f t="shared" si="5"/>
        <v>10680.614158433606</v>
      </c>
      <c r="I34" s="11">
        <f>SUM($H$21:H34)</f>
        <v>169948.37084066917</v>
      </c>
      <c r="J34" s="11">
        <f t="shared" si="6"/>
        <v>197250.98708396705</v>
      </c>
      <c r="K34" s="11">
        <f t="shared" si="7"/>
        <v>-27302.616243297874</v>
      </c>
      <c r="L34" s="14" t="str">
        <f t="shared" si="8"/>
        <v/>
      </c>
    </row>
    <row r="35" spans="1:12" x14ac:dyDescent="0.25">
      <c r="A35" s="14">
        <v>15</v>
      </c>
      <c r="B35" s="11">
        <f t="shared" si="0"/>
        <v>467390.22498022934</v>
      </c>
      <c r="C35" s="11">
        <f t="shared" si="1"/>
        <v>170517.22668338445</v>
      </c>
      <c r="D35" s="11">
        <f t="shared" si="2"/>
        <v>27930.812684627988</v>
      </c>
      <c r="E35" s="11">
        <f t="shared" si="3"/>
        <v>13435.198464882214</v>
      </c>
      <c r="F35" s="11">
        <f>SUM($E$21:E35)</f>
        <v>267559.46712479123</v>
      </c>
      <c r="G35" s="11">
        <f t="shared" si="4"/>
        <v>21781.292037913598</v>
      </c>
      <c r="H35" s="11">
        <f t="shared" si="5"/>
        <v>10477.173888749152</v>
      </c>
      <c r="I35" s="11">
        <f>SUM($H$21:H35)</f>
        <v>180425.54472941833</v>
      </c>
      <c r="J35" s="11">
        <f t="shared" si="6"/>
        <v>207247.84036424191</v>
      </c>
      <c r="K35" s="11">
        <f t="shared" si="7"/>
        <v>-26822.295634823589</v>
      </c>
      <c r="L35" s="14" t="str">
        <f t="shared" si="8"/>
        <v/>
      </c>
    </row>
    <row r="36" spans="1:12" x14ac:dyDescent="0.25">
      <c r="A36" s="14">
        <v>16</v>
      </c>
      <c r="B36" s="11">
        <f t="shared" si="0"/>
        <v>481411.9317296361</v>
      </c>
      <c r="C36" s="11">
        <f t="shared" si="1"/>
        <v>163284.45315347437</v>
      </c>
      <c r="D36" s="11">
        <f t="shared" si="2"/>
        <v>28250.725411434847</v>
      </c>
      <c r="E36" s="11">
        <f t="shared" si="3"/>
        <v>12941.982815593545</v>
      </c>
      <c r="F36" s="11">
        <f>SUM($E$21:E36)</f>
        <v>280501.44994038477</v>
      </c>
      <c r="G36" s="11">
        <f t="shared" si="4"/>
        <v>22434.730799051009</v>
      </c>
      <c r="H36" s="11">
        <f t="shared" si="5"/>
        <v>10277.608671820601</v>
      </c>
      <c r="I36" s="11">
        <f>SUM($H$21:H36)</f>
        <v>190703.15340123893</v>
      </c>
      <c r="J36" s="11">
        <f t="shared" si="6"/>
        <v>216996.00770754181</v>
      </c>
      <c r="K36" s="11">
        <f t="shared" si="7"/>
        <v>-26292.854306302877</v>
      </c>
      <c r="L36" s="14" t="str">
        <f t="shared" si="8"/>
        <v/>
      </c>
    </row>
    <row r="37" spans="1:12" x14ac:dyDescent="0.25">
      <c r="A37" s="14">
        <v>17</v>
      </c>
      <c r="B37" s="11">
        <f t="shared" si="0"/>
        <v>495854.2896815252</v>
      </c>
      <c r="C37" s="11">
        <f t="shared" si="1"/>
        <v>155605.5779785281</v>
      </c>
      <c r="D37" s="11">
        <f t="shared" si="2"/>
        <v>28580.235520045906</v>
      </c>
      <c r="E37" s="11">
        <f t="shared" si="3"/>
        <v>12469.462088534196</v>
      </c>
      <c r="F37" s="11">
        <f>SUM($E$21:E37)</f>
        <v>292970.91202891897</v>
      </c>
      <c r="G37" s="11">
        <f t="shared" si="4"/>
        <v>23107.772723022536</v>
      </c>
      <c r="H37" s="11">
        <f t="shared" si="5"/>
        <v>10081.844697119252</v>
      </c>
      <c r="I37" s="11">
        <f>SUM($H$21:H37)</f>
        <v>200784.99809835819</v>
      </c>
      <c r="J37" s="11">
        <f t="shared" si="6"/>
        <v>226501.90119658085</v>
      </c>
      <c r="K37" s="11">
        <f t="shared" si="7"/>
        <v>-25716.903098222654</v>
      </c>
      <c r="L37" s="14" t="str">
        <f t="shared" si="8"/>
        <v/>
      </c>
    </row>
    <row r="38" spans="1:12" x14ac:dyDescent="0.25">
      <c r="A38" s="14">
        <v>18</v>
      </c>
      <c r="B38" s="11">
        <f t="shared" si="0"/>
        <v>510729.918371971</v>
      </c>
      <c r="C38" s="11">
        <f t="shared" si="1"/>
        <v>147453.08658521052</v>
      </c>
      <c r="D38" s="11">
        <f t="shared" si="2"/>
        <v>28919.630931915301</v>
      </c>
      <c r="E38" s="11">
        <f t="shared" si="3"/>
        <v>12016.703983355368</v>
      </c>
      <c r="F38" s="11">
        <f>SUM($E$21:E38)</f>
        <v>304987.61601227435</v>
      </c>
      <c r="G38" s="11">
        <f t="shared" si="4"/>
        <v>23801.005904713209</v>
      </c>
      <c r="H38" s="11">
        <f t="shared" si="5"/>
        <v>9889.8095600312663</v>
      </c>
      <c r="I38" s="11">
        <f>SUM($H$21:H38)</f>
        <v>210674.80765838944</v>
      </c>
      <c r="J38" s="11">
        <f t="shared" si="6"/>
        <v>235771.71877859539</v>
      </c>
      <c r="K38" s="11">
        <f t="shared" si="7"/>
        <v>-25096.911120205943</v>
      </c>
      <c r="L38" s="14" t="str">
        <f t="shared" si="8"/>
        <v/>
      </c>
    </row>
    <row r="39" spans="1:12" x14ac:dyDescent="0.25">
      <c r="A39" s="14">
        <v>19</v>
      </c>
      <c r="B39" s="11">
        <f t="shared" si="0"/>
        <v>526051.81592313014</v>
      </c>
      <c r="C39" s="11">
        <f t="shared" si="1"/>
        <v>138797.76736150892</v>
      </c>
      <c r="D39" s="11">
        <f t="shared" si="2"/>
        <v>29269.208206140775</v>
      </c>
      <c r="E39" s="11">
        <f t="shared" si="3"/>
        <v>11582.819582160311</v>
      </c>
      <c r="F39" s="11">
        <f>SUM($E$21:E39)</f>
        <v>316570.43559443468</v>
      </c>
      <c r="G39" s="11">
        <f t="shared" si="4"/>
        <v>24515.036081854607</v>
      </c>
      <c r="H39" s="11">
        <f t="shared" si="5"/>
        <v>9701.4322350782895</v>
      </c>
      <c r="I39" s="11">
        <f>SUM($H$21:H39)</f>
        <v>220376.23989346775</v>
      </c>
      <c r="J39" s="11">
        <f t="shared" si="6"/>
        <v>244811.45258908946</v>
      </c>
      <c r="K39" s="11">
        <f t="shared" si="7"/>
        <v>-24435.212695621711</v>
      </c>
      <c r="L39" s="14" t="str">
        <f t="shared" si="8"/>
        <v/>
      </c>
    </row>
    <row r="40" spans="1:12" x14ac:dyDescent="0.25">
      <c r="A40" s="14">
        <v>20</v>
      </c>
      <c r="B40" s="11">
        <f t="shared" si="0"/>
        <v>541833.370400824</v>
      </c>
      <c r="C40" s="11">
        <f t="shared" si="1"/>
        <v>129608.60698710079</v>
      </c>
      <c r="D40" s="11">
        <f t="shared" si="2"/>
        <v>29629.272798593011</v>
      </c>
      <c r="E40" s="11">
        <f t="shared" si="3"/>
        <v>11166.961302964783</v>
      </c>
      <c r="F40" s="11">
        <f>SUM($E$21:E40)</f>
        <v>327737.39689739945</v>
      </c>
      <c r="G40" s="11">
        <f t="shared" si="4"/>
        <v>25250.487164310245</v>
      </c>
      <c r="H40" s="11">
        <f t="shared" si="5"/>
        <v>9516.643049648228</v>
      </c>
      <c r="I40" s="11">
        <f>SUM($H$21:H40)</f>
        <v>229892.88294311598</v>
      </c>
      <c r="J40" s="11">
        <f t="shared" si="6"/>
        <v>253626.89691337838</v>
      </c>
      <c r="K40" s="11">
        <f t="shared" si="7"/>
        <v>-23734.0139702624</v>
      </c>
      <c r="L40" s="14" t="str">
        <f t="shared" si="8"/>
        <v/>
      </c>
    </row>
    <row r="41" spans="1:12" x14ac:dyDescent="0.25">
      <c r="A41" s="14">
        <v>21</v>
      </c>
      <c r="B41" s="11">
        <f t="shared" si="0"/>
        <v>558088.37151284865</v>
      </c>
      <c r="C41" s="11">
        <f t="shared" si="1"/>
        <v>119852.67930792714</v>
      </c>
      <c r="D41" s="11">
        <f t="shared" si="2"/>
        <v>30000.139328818819</v>
      </c>
      <c r="E41" s="11">
        <f t="shared" si="3"/>
        <v>10768.320950244279</v>
      </c>
      <c r="F41" s="11">
        <f>SUM($E$21:E41)</f>
        <v>338505.71784764371</v>
      </c>
      <c r="G41" s="11">
        <f t="shared" si="4"/>
        <v>26008.001779239552</v>
      </c>
      <c r="H41" s="11">
        <f t="shared" si="5"/>
        <v>9335.3736582263573</v>
      </c>
      <c r="I41" s="11">
        <f>SUM($H$21:H41)</f>
        <v>239228.25660134235</v>
      </c>
      <c r="J41" s="11">
        <f t="shared" si="6"/>
        <v>262223.6558025108</v>
      </c>
      <c r="K41" s="11">
        <f t="shared" si="7"/>
        <v>-22995.399201168446</v>
      </c>
      <c r="L41" s="14" t="str">
        <f t="shared" si="8"/>
        <v/>
      </c>
    </row>
    <row r="42" spans="1:12" x14ac:dyDescent="0.25">
      <c r="A42" s="14">
        <v>22</v>
      </c>
      <c r="B42" s="11">
        <f t="shared" si="0"/>
        <v>574831.02265823411</v>
      </c>
      <c r="C42" s="11">
        <f t="shared" si="1"/>
        <v>109495.02735679375</v>
      </c>
      <c r="D42" s="11">
        <f t="shared" si="2"/>
        <v>30382.131854951396</v>
      </c>
      <c r="E42" s="11">
        <f t="shared" si="3"/>
        <v>10386.127857951884</v>
      </c>
      <c r="F42" s="11">
        <f>SUM($E$21:E42)</f>
        <v>348891.84570559557</v>
      </c>
      <c r="G42" s="11">
        <f t="shared" si="4"/>
        <v>26788.241832616735</v>
      </c>
      <c r="H42" s="11">
        <f t="shared" si="5"/>
        <v>9157.5570171172822</v>
      </c>
      <c r="I42" s="11">
        <f>SUM($H$21:H42)</f>
        <v>248385.81361845962</v>
      </c>
      <c r="J42" s="11">
        <f t="shared" si="6"/>
        <v>270607.15035937179</v>
      </c>
      <c r="K42" s="11">
        <f t="shared" si="7"/>
        <v>-22221.336740912171</v>
      </c>
      <c r="L42" s="14" t="str">
        <f t="shared" si="8"/>
        <v/>
      </c>
    </row>
    <row r="43" spans="1:12" x14ac:dyDescent="0.25">
      <c r="A43" s="14">
        <v>23</v>
      </c>
      <c r="B43" s="11">
        <f t="shared" si="0"/>
        <v>592075.95333798125</v>
      </c>
      <c r="C43" s="11">
        <f t="shared" si="1"/>
        <v>98498.538097260403</v>
      </c>
      <c r="D43" s="11">
        <f t="shared" si="2"/>
        <v>30775.584156867961</v>
      </c>
      <c r="E43" s="11">
        <f t="shared" si="3"/>
        <v>10019.64712061028</v>
      </c>
      <c r="F43" s="11">
        <f>SUM($E$21:E43)</f>
        <v>358911.49282620585</v>
      </c>
      <c r="G43" s="11">
        <f t="shared" si="4"/>
        <v>27591.889087595238</v>
      </c>
      <c r="H43" s="11">
        <f t="shared" si="5"/>
        <v>8983.1273596483807</v>
      </c>
      <c r="I43" s="11">
        <f>SUM($H$21:H43)</f>
        <v>257368.940978108</v>
      </c>
      <c r="J43" s="11">
        <f t="shared" si="6"/>
        <v>278782.62571003078</v>
      </c>
      <c r="K43" s="11">
        <f t="shared" si="7"/>
        <v>-21413.684731922782</v>
      </c>
      <c r="L43" s="14" t="str">
        <f t="shared" si="8"/>
        <v/>
      </c>
    </row>
    <row r="44" spans="1:12" x14ac:dyDescent="0.25">
      <c r="A44" s="14">
        <v>24</v>
      </c>
      <c r="B44" s="11">
        <f t="shared" si="0"/>
        <v>609838.23193812056</v>
      </c>
      <c r="C44" s="11">
        <f t="shared" si="1"/>
        <v>86823.809442007681</v>
      </c>
      <c r="D44" s="11">
        <f t="shared" si="2"/>
        <v>31180.840027842016</v>
      </c>
      <c r="E44" s="11">
        <f t="shared" si="3"/>
        <v>9668.1779082905869</v>
      </c>
      <c r="F44" s="11">
        <f>SUM($E$21:E44)</f>
        <v>368579.67073449644</v>
      </c>
      <c r="G44" s="11">
        <f t="shared" si="4"/>
        <v>28419.645760223098</v>
      </c>
      <c r="H44" s="11">
        <f t="shared" si="5"/>
        <v>8812.0201718455555</v>
      </c>
      <c r="I44" s="11">
        <f>SUM($H$21:H44)</f>
        <v>266180.96114995354</v>
      </c>
      <c r="J44" s="11">
        <f t="shared" si="6"/>
        <v>286755.15767469077</v>
      </c>
      <c r="K44" s="11">
        <f t="shared" si="7"/>
        <v>-20574.196524737228</v>
      </c>
      <c r="L44" s="14" t="str">
        <f t="shared" si="8"/>
        <v/>
      </c>
    </row>
    <row r="45" spans="1:12" x14ac:dyDescent="0.25">
      <c r="A45" s="14">
        <v>25</v>
      </c>
      <c r="B45" s="11">
        <f t="shared" si="0"/>
        <v>628133.37889626413</v>
      </c>
      <c r="C45" s="11">
        <f t="shared" si="1"/>
        <v>74429.009069187217</v>
      </c>
      <c r="D45" s="11">
        <f t="shared" si="2"/>
        <v>31598.253574945287</v>
      </c>
      <c r="E45" s="11">
        <f t="shared" si="3"/>
        <v>9331.0518614900629</v>
      </c>
      <c r="F45" s="11">
        <f>SUM($E$21:E45)</f>
        <v>377910.7225959865</v>
      </c>
      <c r="G45" s="11">
        <f t="shared" si="4"/>
        <v>29272.235133029786</v>
      </c>
      <c r="H45" s="11">
        <f t="shared" si="5"/>
        <v>8644.172168572306</v>
      </c>
      <c r="I45" s="11">
        <f>SUM($H$21:H45)</f>
        <v>274825.13331852586</v>
      </c>
      <c r="J45" s="11">
        <f t="shared" si="6"/>
        <v>294529.65915192483</v>
      </c>
      <c r="K45" s="11">
        <f t="shared" si="7"/>
        <v>-19704.525833398977</v>
      </c>
      <c r="L45" s="14" t="str">
        <f t="shared" si="8"/>
        <v/>
      </c>
    </row>
    <row r="46" spans="1:12" x14ac:dyDescent="0.25">
      <c r="A46" s="14">
        <v>26</v>
      </c>
      <c r="B46" s="11">
        <f t="shared" si="0"/>
        <v>646977.38026315218</v>
      </c>
      <c r="C46" s="11">
        <f t="shared" si="1"/>
        <v>61269.724530873587</v>
      </c>
      <c r="D46" s="11">
        <f t="shared" si="2"/>
        <v>32028.189528461662</v>
      </c>
      <c r="E46" s="11">
        <f t="shared" si="3"/>
        <v>9007.6315621104459</v>
      </c>
      <c r="F46" s="11">
        <f>SUM($E$21:E46)</f>
        <v>386918.35415809695</v>
      </c>
      <c r="G46" s="11">
        <f t="shared" si="4"/>
        <v>30150.402187020678</v>
      </c>
      <c r="H46" s="11">
        <f t="shared" si="5"/>
        <v>8479.5212701233086</v>
      </c>
      <c r="I46" s="11">
        <f>SUM($H$21:H46)</f>
        <v>283304.65458864917</v>
      </c>
      <c r="J46" s="11">
        <f t="shared" si="6"/>
        <v>302110.88622924691</v>
      </c>
      <c r="K46" s="11">
        <f t="shared" si="7"/>
        <v>-18806.231640597747</v>
      </c>
      <c r="L46" s="14" t="str">
        <f t="shared" si="8"/>
        <v/>
      </c>
    </row>
    <row r="47" spans="1:12" x14ac:dyDescent="0.25">
      <c r="A47" s="14">
        <v>27</v>
      </c>
      <c r="B47" s="11">
        <f t="shared" si="0"/>
        <v>666386.70167104667</v>
      </c>
      <c r="C47" s="11">
        <f t="shared" si="1"/>
        <v>47298.804116535001</v>
      </c>
      <c r="D47" s="11">
        <f t="shared" si="2"/>
        <v>32471.023560583533</v>
      </c>
      <c r="E47" s="11">
        <f t="shared" si="3"/>
        <v>8697.3090769194132</v>
      </c>
      <c r="F47" s="11">
        <f>SUM($E$21:E47)</f>
        <v>395615.66323501634</v>
      </c>
      <c r="G47" s="11">
        <f t="shared" si="4"/>
        <v>31054.914252631304</v>
      </c>
      <c r="H47" s="11">
        <f t="shared" si="5"/>
        <v>8318.0065792638179</v>
      </c>
      <c r="I47" s="11">
        <f>SUM($H$21:H47)</f>
        <v>291622.661167913</v>
      </c>
      <c r="J47" s="11">
        <f t="shared" si="6"/>
        <v>309503.4440324512</v>
      </c>
      <c r="K47" s="11">
        <f t="shared" si="7"/>
        <v>-17880.782864538196</v>
      </c>
      <c r="L47" s="14" t="str">
        <f t="shared" si="8"/>
        <v/>
      </c>
    </row>
    <row r="48" spans="1:12" x14ac:dyDescent="0.25">
      <c r="A48" s="14">
        <v>28</v>
      </c>
      <c r="B48" s="11">
        <f t="shared" si="0"/>
        <v>686378.30272117804</v>
      </c>
      <c r="C48" s="11">
        <f t="shared" si="1"/>
        <v>32466.187901306432</v>
      </c>
      <c r="D48" s="11">
        <f t="shared" si="2"/>
        <v>32927.14261366905</v>
      </c>
      <c r="E48" s="11">
        <f t="shared" si="3"/>
        <v>8399.5045700498558</v>
      </c>
      <c r="F48" s="11">
        <f>SUM($E$21:E48)</f>
        <v>404015.16780506622</v>
      </c>
      <c r="G48" s="11">
        <f t="shared" si="4"/>
        <v>31986.561680210238</v>
      </c>
      <c r="H48" s="11">
        <f t="shared" si="5"/>
        <v>8159.5683587064113</v>
      </c>
      <c r="I48" s="11">
        <f>SUM($H$21:H48)</f>
        <v>299782.22952661943</v>
      </c>
      <c r="J48" s="11">
        <f t="shared" si="6"/>
        <v>316711.79232557397</v>
      </c>
      <c r="K48" s="11">
        <f t="shared" si="7"/>
        <v>-16929.562798954546</v>
      </c>
      <c r="L48" s="14" t="str">
        <f t="shared" si="8"/>
        <v/>
      </c>
    </row>
    <row r="49" spans="1:12" x14ac:dyDescent="0.25">
      <c r="A49" s="14">
        <v>29</v>
      </c>
      <c r="B49" s="11">
        <f t="shared" si="0"/>
        <v>706969.65180281329</v>
      </c>
      <c r="C49" s="11">
        <f t="shared" si="1"/>
        <v>16718.72837369726</v>
      </c>
      <c r="D49" s="11">
        <f t="shared" si="2"/>
        <v>33396.945238347136</v>
      </c>
      <c r="E49" s="11">
        <f t="shared" si="3"/>
        <v>8113.6649812555761</v>
      </c>
      <c r="F49" s="11">
        <f>SUM($E$21:E49)</f>
        <v>412128.83278632181</v>
      </c>
      <c r="G49" s="11">
        <f t="shared" si="4"/>
        <v>32946.158530616543</v>
      </c>
      <c r="H49" s="11">
        <f t="shared" si="5"/>
        <v>8004.1480090167634</v>
      </c>
      <c r="I49" s="11">
        <f>SUM($H$21:H49)</f>
        <v>307786.37753563619</v>
      </c>
      <c r="J49" s="11">
        <f t="shared" si="6"/>
        <v>323740.25087278301</v>
      </c>
      <c r="K49" s="11">
        <f t="shared" si="7"/>
        <v>-15953.873337146826</v>
      </c>
      <c r="L49" s="14" t="str">
        <f t="shared" si="8"/>
        <v/>
      </c>
    </row>
    <row r="50" spans="1:12" x14ac:dyDescent="0.25">
      <c r="A50" s="14">
        <v>30</v>
      </c>
      <c r="B50" s="11">
        <f t="shared" si="0"/>
        <v>728178.74135689775</v>
      </c>
      <c r="C50" s="11">
        <f t="shared" si="1"/>
        <v>0</v>
      </c>
      <c r="D50" s="11">
        <f t="shared" si="2"/>
        <v>33880.841941765568</v>
      </c>
      <c r="E50" s="11">
        <f t="shared" si="3"/>
        <v>7839.2627667981078</v>
      </c>
      <c r="F50" s="11">
        <f>SUM($E$21:E50)</f>
        <v>419968.0955531199</v>
      </c>
      <c r="G50" s="11">
        <f t="shared" si="4"/>
        <v>33934.543286535038</v>
      </c>
      <c r="H50" s="11">
        <f t="shared" si="5"/>
        <v>7851.6880469402558</v>
      </c>
      <c r="I50" s="11">
        <f>SUM($H$21:H50)</f>
        <v>315638.06558257644</v>
      </c>
      <c r="J50" s="11">
        <f t="shared" si="6"/>
        <v>330593.00457296253</v>
      </c>
      <c r="K50" s="11">
        <f t="shared" si="7"/>
        <v>-14954.938990386087</v>
      </c>
      <c r="L50" s="14" t="str">
        <f t="shared" si="8"/>
        <v/>
      </c>
    </row>
  </sheetData>
  <mergeCells count="1">
    <mergeCell ref="A2:L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0"/>
  <sheetViews>
    <sheetView workbookViewId="0">
      <pane ySplit="20" topLeftCell="A21" activePane="bottomLeft" state="frozen"/>
      <selection pane="bottomLeft"/>
    </sheetView>
  </sheetViews>
  <sheetFormatPr defaultRowHeight="15" x14ac:dyDescent="0.25"/>
  <cols>
    <col min="1" max="1" width="27" customWidth="1"/>
    <col min="2" max="3" width="15" customWidth="1"/>
    <col min="4" max="4" width="30" customWidth="1"/>
    <col min="5" max="5" width="17" customWidth="1"/>
    <col min="6" max="6" width="15" customWidth="1"/>
    <col min="7" max="7" width="17" customWidth="1"/>
    <col min="8" max="10" width="15" customWidth="1"/>
    <col min="11" max="11" width="17" customWidth="1"/>
    <col min="12" max="12" width="11" customWidth="1"/>
  </cols>
  <sheetData>
    <row r="1" spans="1:12" ht="16.5" x14ac:dyDescent="0.25">
      <c r="A1" s="1" t="s">
        <v>119</v>
      </c>
    </row>
    <row r="2" spans="1:12" ht="48" customHeight="1" x14ac:dyDescent="0.25">
      <c r="A2" s="22" t="s">
        <v>120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t="s">
        <v>54</v>
      </c>
      <c r="D3" t="s">
        <v>55</v>
      </c>
    </row>
    <row r="4" spans="1:12" x14ac:dyDescent="0.25">
      <c r="A4" s="2" t="s">
        <v>56</v>
      </c>
      <c r="B4" s="10">
        <v>200000</v>
      </c>
      <c r="D4" s="2" t="s">
        <v>57</v>
      </c>
      <c r="E4" s="11">
        <f>(1-$B$6)*$B$4</f>
        <v>0</v>
      </c>
    </row>
    <row r="5" spans="1:12" x14ac:dyDescent="0.25">
      <c r="A5" s="2" t="s">
        <v>58</v>
      </c>
      <c r="B5" s="10">
        <v>1000</v>
      </c>
      <c r="D5" s="2" t="s">
        <v>59</v>
      </c>
      <c r="E5" s="12">
        <f>$B$7/12</f>
        <v>0</v>
      </c>
    </row>
    <row r="6" spans="1:12" x14ac:dyDescent="0.25">
      <c r="A6" s="2" t="s">
        <v>60</v>
      </c>
      <c r="B6" s="13">
        <v>1</v>
      </c>
      <c r="D6" s="2" t="s">
        <v>61</v>
      </c>
      <c r="E6" s="14">
        <f>12*$B$8</f>
        <v>360</v>
      </c>
    </row>
    <row r="7" spans="1:12" x14ac:dyDescent="0.25">
      <c r="A7" s="2" t="s">
        <v>62</v>
      </c>
      <c r="B7" s="15">
        <v>0</v>
      </c>
      <c r="D7" s="2" t="s">
        <v>63</v>
      </c>
      <c r="E7" s="11">
        <f>IF($E$4=0,0,IF($E$5=0,$E$4/$E$6,$E$4*$E$5*(1+$E$5)^$E$6/((1+$E$5)^$E$6-1)))</f>
        <v>0</v>
      </c>
      <c r="H7" s="10">
        <v>0</v>
      </c>
      <c r="I7" s="2" t="str">
        <f>IF(ABS(E7-H7)&lt;0.01,"PASS","FAIL")</f>
        <v>PASS</v>
      </c>
    </row>
    <row r="8" spans="1:12" x14ac:dyDescent="0.25">
      <c r="A8" s="2" t="s">
        <v>64</v>
      </c>
      <c r="B8" s="16">
        <v>30</v>
      </c>
      <c r="G8" s="17" t="s">
        <v>65</v>
      </c>
      <c r="H8" s="17" t="s">
        <v>66</v>
      </c>
      <c r="I8" s="17" t="s">
        <v>67</v>
      </c>
      <c r="J8" s="17" t="s">
        <v>68</v>
      </c>
    </row>
    <row r="9" spans="1:12" x14ac:dyDescent="0.25">
      <c r="A9" s="2" t="s">
        <v>69</v>
      </c>
      <c r="B9" s="16">
        <v>2</v>
      </c>
      <c r="D9" s="2" t="s">
        <v>70</v>
      </c>
      <c r="E9" s="11">
        <f>INDEX(J21:J50,$B$9)</f>
        <v>19500</v>
      </c>
      <c r="G9" s="10">
        <v>19500</v>
      </c>
      <c r="H9" s="10">
        <v>19500</v>
      </c>
      <c r="I9" s="2" t="str">
        <f>IF(ABS(E9-H9)&lt;0.01,"PASS","FAIL")</f>
        <v>PASS</v>
      </c>
      <c r="J9" s="2" t="str">
        <f>IF(ABS(E9-G9)&lt;0.01,"PASS","FAIL")</f>
        <v>PASS</v>
      </c>
    </row>
    <row r="10" spans="1:12" x14ac:dyDescent="0.25">
      <c r="A10" s="2" t="s">
        <v>71</v>
      </c>
      <c r="B10" s="13">
        <v>0</v>
      </c>
      <c r="D10" s="2" t="s">
        <v>72</v>
      </c>
      <c r="E10" s="11">
        <f>INDEX(I21:I50,$B$9)</f>
        <v>24000</v>
      </c>
      <c r="G10" s="10">
        <v>24000</v>
      </c>
      <c r="H10" s="10">
        <v>24000</v>
      </c>
      <c r="I10" s="2" t="str">
        <f>IF(ABS(E10-H10)&lt;0.01,"PASS","FAIL")</f>
        <v>PASS</v>
      </c>
      <c r="J10" s="2" t="str">
        <f>IF(ABS(E10-G10)&lt;0.01,"PASS","FAIL")</f>
        <v>PASS</v>
      </c>
    </row>
    <row r="11" spans="1:12" x14ac:dyDescent="0.25">
      <c r="A11" s="2" t="s">
        <v>73</v>
      </c>
      <c r="B11" s="13">
        <v>0</v>
      </c>
      <c r="D11" s="3" t="s">
        <v>74</v>
      </c>
      <c r="E11" s="18">
        <f>INDEX(K21:K50,$B$9)</f>
        <v>4500</v>
      </c>
      <c r="G11" s="10">
        <v>4500</v>
      </c>
      <c r="H11" s="10">
        <v>4500</v>
      </c>
      <c r="I11" s="2" t="str">
        <f>IF(ABS(E11-H11)&lt;0.01,"PASS","FAIL")</f>
        <v>PASS</v>
      </c>
      <c r="J11" s="2" t="str">
        <f>IF(ABS(E11-G11)&lt;0.01,"PASS","FAIL")</f>
        <v>PASS</v>
      </c>
    </row>
    <row r="12" spans="1:12" x14ac:dyDescent="0.25">
      <c r="A12" s="2" t="s">
        <v>75</v>
      </c>
      <c r="B12" s="13">
        <v>0</v>
      </c>
      <c r="D12" s="2" t="s">
        <v>76</v>
      </c>
      <c r="E12" s="19" t="str">
        <f>IF(E11&gt;=0,"buy","rent")</f>
        <v>buy</v>
      </c>
      <c r="G12" s="20" t="s">
        <v>77</v>
      </c>
      <c r="H12" s="20" t="s">
        <v>77</v>
      </c>
      <c r="I12" s="2" t="str">
        <f>IF(E12=H12,"PASS","FAIL")</f>
        <v>PASS</v>
      </c>
      <c r="J12" s="2" t="str">
        <f>IF(E12=G12,"PASS","FAIL")</f>
        <v>PASS</v>
      </c>
    </row>
    <row r="13" spans="1:12" x14ac:dyDescent="0.25">
      <c r="A13" s="2" t="s">
        <v>78</v>
      </c>
      <c r="B13" s="13">
        <v>0</v>
      </c>
      <c r="D13" s="2" t="s">
        <v>79</v>
      </c>
      <c r="E13" s="14">
        <f>IF(COUNT(L21:L50)=0,"never",MIN(L21:L50))</f>
        <v>1</v>
      </c>
      <c r="G13" s="16">
        <v>1</v>
      </c>
      <c r="H13" s="16">
        <v>1</v>
      </c>
      <c r="I13" s="2" t="str">
        <f>IF(ABS(E13-H13)&lt;0.01,"PASS","FAIL")</f>
        <v>PASS</v>
      </c>
      <c r="J13" s="2" t="str">
        <f>IF(ABS(E13-G13)&lt;0.01,"PASS","FAIL")</f>
        <v>PASS</v>
      </c>
    </row>
    <row r="14" spans="1:12" x14ac:dyDescent="0.25">
      <c r="A14" s="2" t="s">
        <v>80</v>
      </c>
      <c r="B14" s="13">
        <v>0</v>
      </c>
      <c r="D14" s="2" t="s">
        <v>81</v>
      </c>
      <c r="E14" s="11">
        <f>($B$15+$B$10+$B$11+$B$12-$B$16)*$B$4</f>
        <v>10000</v>
      </c>
      <c r="G14" s="10">
        <v>10000</v>
      </c>
      <c r="H14" s="10">
        <v>10000</v>
      </c>
      <c r="I14" s="2" t="str">
        <f>IF(ABS(E14-H14)&lt;0.01,"PASS","FAIL")</f>
        <v>PASS</v>
      </c>
      <c r="J14" s="2" t="str">
        <f>IF(ABS(E14-G14)&lt;0.01,"PASS","FAIL")</f>
        <v>PASS</v>
      </c>
    </row>
    <row r="15" spans="1:12" x14ac:dyDescent="0.25">
      <c r="A15" s="2" t="s">
        <v>82</v>
      </c>
      <c r="B15" s="13">
        <v>0</v>
      </c>
      <c r="D15" s="2" t="s">
        <v>83</v>
      </c>
      <c r="E15" s="11">
        <f>12*$B$5</f>
        <v>12000</v>
      </c>
      <c r="H15" s="10">
        <v>12000</v>
      </c>
      <c r="I15" s="2" t="str">
        <f>IF(ABS(E15-H15)&lt;0.01,"PASS","FAIL")</f>
        <v>PASS</v>
      </c>
    </row>
    <row r="16" spans="1:12" x14ac:dyDescent="0.25">
      <c r="A16" s="2" t="s">
        <v>84</v>
      </c>
      <c r="B16" s="13">
        <v>-0.05</v>
      </c>
      <c r="D16" s="2" t="s">
        <v>85</v>
      </c>
      <c r="E16" s="11">
        <f>INDEX(C21:C50,$B$9)</f>
        <v>0</v>
      </c>
      <c r="H16" s="10">
        <v>0</v>
      </c>
      <c r="I16" s="2" t="str">
        <f>IF(ABS(E16-H16)&lt;0.01,"PASS","FAIL")</f>
        <v>PASS</v>
      </c>
    </row>
    <row r="17" spans="1:12" x14ac:dyDescent="0.25">
      <c r="A17" s="2" t="s">
        <v>86</v>
      </c>
      <c r="B17" s="13">
        <v>0</v>
      </c>
      <c r="G17" s="5" t="s">
        <v>87</v>
      </c>
    </row>
    <row r="19" spans="1:12" x14ac:dyDescent="0.25">
      <c r="A19" s="3" t="s">
        <v>88</v>
      </c>
    </row>
    <row r="20" spans="1:12" ht="30" customHeight="1" x14ac:dyDescent="0.25">
      <c r="A20" s="21" t="s">
        <v>89</v>
      </c>
      <c r="B20" s="21" t="s">
        <v>90</v>
      </c>
      <c r="C20" s="21" t="s">
        <v>91</v>
      </c>
      <c r="D20" s="21" t="s">
        <v>92</v>
      </c>
      <c r="E20" s="21" t="s">
        <v>93</v>
      </c>
      <c r="F20" s="21" t="s">
        <v>94</v>
      </c>
      <c r="G20" s="21" t="s">
        <v>95</v>
      </c>
      <c r="H20" s="21" t="s">
        <v>96</v>
      </c>
      <c r="I20" s="21" t="s">
        <v>97</v>
      </c>
      <c r="J20" s="21" t="s">
        <v>98</v>
      </c>
      <c r="K20" s="21" t="s">
        <v>99</v>
      </c>
      <c r="L20" s="21" t="s">
        <v>100</v>
      </c>
    </row>
    <row r="21" spans="1:12" x14ac:dyDescent="0.25">
      <c r="A21" s="14">
        <v>1</v>
      </c>
      <c r="B21" s="11">
        <f t="shared" ref="B21:B50" si="0">$B$4*(1+$B$16)^A21</f>
        <v>190000</v>
      </c>
      <c r="C21" s="11">
        <f t="shared" ref="C21:C50" si="1">IF(OR($E$4=0,A21&gt;=$B$8),0,IF($E$5=0,$E$4-12*A21*$E$7,$E$4*(1+$E$5)^(12*A21)-$E$7*((1+$E$5)^(12*A21)-1)/$E$5))</f>
        <v>0</v>
      </c>
      <c r="D21" s="11">
        <f t="shared" ref="D21:D50" si="2">IF(A21&lt;=$B$8,12*$E$7,0)+($B$10+$B$11+$B$12)*$B$4*(1+$B$16)^(A21-1)</f>
        <v>0</v>
      </c>
      <c r="E21" s="11">
        <f t="shared" ref="E21:E50" si="3">D21/(1+$B$15)^A21</f>
        <v>0</v>
      </c>
      <c r="F21" s="11">
        <f>SUM($E$21:E21)</f>
        <v>0</v>
      </c>
      <c r="G21" s="11">
        <f t="shared" ref="G21:G50" si="4">12*$B$5*(1+$B$17)^(A21-1)</f>
        <v>12000</v>
      </c>
      <c r="H21" s="11">
        <f t="shared" ref="H21:H50" si="5">G21/(1+$B$15)^A21</f>
        <v>12000</v>
      </c>
      <c r="I21" s="11">
        <f>SUM($H$21:H21)</f>
        <v>12000</v>
      </c>
      <c r="J21" s="11">
        <f t="shared" ref="J21:J50" si="6">($B$6+$B$13)*$B$4+F21-(B21*(1-$B$14)-C21)/(1+$B$15)^A21</f>
        <v>10000</v>
      </c>
      <c r="K21" s="11">
        <f t="shared" ref="K21:K50" si="7">I21-J21</f>
        <v>2000</v>
      </c>
      <c r="L21" s="14">
        <f t="shared" ref="L21:L50" si="8">IF(K21&gt;=0,A21,"")</f>
        <v>1</v>
      </c>
    </row>
    <row r="22" spans="1:12" x14ac:dyDescent="0.25">
      <c r="A22" s="14">
        <v>2</v>
      </c>
      <c r="B22" s="11">
        <f t="shared" si="0"/>
        <v>180500</v>
      </c>
      <c r="C22" s="11">
        <f t="shared" si="1"/>
        <v>0</v>
      </c>
      <c r="D22" s="11">
        <f t="shared" si="2"/>
        <v>0</v>
      </c>
      <c r="E22" s="11">
        <f t="shared" si="3"/>
        <v>0</v>
      </c>
      <c r="F22" s="11">
        <f>SUM($E$21:E22)</f>
        <v>0</v>
      </c>
      <c r="G22" s="11">
        <f t="shared" si="4"/>
        <v>12000</v>
      </c>
      <c r="H22" s="11">
        <f t="shared" si="5"/>
        <v>12000</v>
      </c>
      <c r="I22" s="11">
        <f>SUM($H$21:H22)</f>
        <v>24000</v>
      </c>
      <c r="J22" s="11">
        <f t="shared" si="6"/>
        <v>19500</v>
      </c>
      <c r="K22" s="11">
        <f t="shared" si="7"/>
        <v>4500</v>
      </c>
      <c r="L22" s="14">
        <f t="shared" si="8"/>
        <v>2</v>
      </c>
    </row>
    <row r="23" spans="1:12" x14ac:dyDescent="0.25">
      <c r="A23" s="14">
        <v>3</v>
      </c>
      <c r="B23" s="11">
        <f t="shared" si="0"/>
        <v>171474.99999999997</v>
      </c>
      <c r="C23" s="11">
        <f t="shared" si="1"/>
        <v>0</v>
      </c>
      <c r="D23" s="11">
        <f t="shared" si="2"/>
        <v>0</v>
      </c>
      <c r="E23" s="11">
        <f t="shared" si="3"/>
        <v>0</v>
      </c>
      <c r="F23" s="11">
        <f>SUM($E$21:E23)</f>
        <v>0</v>
      </c>
      <c r="G23" s="11">
        <f t="shared" si="4"/>
        <v>12000</v>
      </c>
      <c r="H23" s="11">
        <f t="shared" si="5"/>
        <v>12000</v>
      </c>
      <c r="I23" s="11">
        <f>SUM($H$21:H23)</f>
        <v>36000</v>
      </c>
      <c r="J23" s="11">
        <f t="shared" si="6"/>
        <v>28525.000000000029</v>
      </c>
      <c r="K23" s="11">
        <f t="shared" si="7"/>
        <v>7474.9999999999709</v>
      </c>
      <c r="L23" s="14">
        <f t="shared" si="8"/>
        <v>3</v>
      </c>
    </row>
    <row r="24" spans="1:12" x14ac:dyDescent="0.25">
      <c r="A24" s="14">
        <v>4</v>
      </c>
      <c r="B24" s="11">
        <f t="shared" si="0"/>
        <v>162901.25</v>
      </c>
      <c r="C24" s="11">
        <f t="shared" si="1"/>
        <v>0</v>
      </c>
      <c r="D24" s="11">
        <f t="shared" si="2"/>
        <v>0</v>
      </c>
      <c r="E24" s="11">
        <f t="shared" si="3"/>
        <v>0</v>
      </c>
      <c r="F24" s="11">
        <f>SUM($E$21:E24)</f>
        <v>0</v>
      </c>
      <c r="G24" s="11">
        <f t="shared" si="4"/>
        <v>12000</v>
      </c>
      <c r="H24" s="11">
        <f t="shared" si="5"/>
        <v>12000</v>
      </c>
      <c r="I24" s="11">
        <f>SUM($H$21:H24)</f>
        <v>48000</v>
      </c>
      <c r="J24" s="11">
        <f t="shared" si="6"/>
        <v>37098.75</v>
      </c>
      <c r="K24" s="11">
        <f t="shared" si="7"/>
        <v>10901.25</v>
      </c>
      <c r="L24" s="14">
        <f t="shared" si="8"/>
        <v>4</v>
      </c>
    </row>
    <row r="25" spans="1:12" x14ac:dyDescent="0.25">
      <c r="A25" s="14">
        <v>5</v>
      </c>
      <c r="B25" s="11">
        <f t="shared" si="0"/>
        <v>154756.1875</v>
      </c>
      <c r="C25" s="11">
        <f t="shared" si="1"/>
        <v>0</v>
      </c>
      <c r="D25" s="11">
        <f t="shared" si="2"/>
        <v>0</v>
      </c>
      <c r="E25" s="11">
        <f t="shared" si="3"/>
        <v>0</v>
      </c>
      <c r="F25" s="11">
        <f>SUM($E$21:E25)</f>
        <v>0</v>
      </c>
      <c r="G25" s="11">
        <f t="shared" si="4"/>
        <v>12000</v>
      </c>
      <c r="H25" s="11">
        <f t="shared" si="5"/>
        <v>12000</v>
      </c>
      <c r="I25" s="11">
        <f>SUM($H$21:H25)</f>
        <v>60000</v>
      </c>
      <c r="J25" s="11">
        <f t="shared" si="6"/>
        <v>45243.8125</v>
      </c>
      <c r="K25" s="11">
        <f t="shared" si="7"/>
        <v>14756.1875</v>
      </c>
      <c r="L25" s="14">
        <f t="shared" si="8"/>
        <v>5</v>
      </c>
    </row>
    <row r="26" spans="1:12" x14ac:dyDescent="0.25">
      <c r="A26" s="14">
        <v>6</v>
      </c>
      <c r="B26" s="11">
        <f t="shared" si="0"/>
        <v>147018.37812499999</v>
      </c>
      <c r="C26" s="11">
        <f t="shared" si="1"/>
        <v>0</v>
      </c>
      <c r="D26" s="11">
        <f t="shared" si="2"/>
        <v>0</v>
      </c>
      <c r="E26" s="11">
        <f t="shared" si="3"/>
        <v>0</v>
      </c>
      <c r="F26" s="11">
        <f>SUM($E$21:E26)</f>
        <v>0</v>
      </c>
      <c r="G26" s="11">
        <f t="shared" si="4"/>
        <v>12000</v>
      </c>
      <c r="H26" s="11">
        <f t="shared" si="5"/>
        <v>12000</v>
      </c>
      <c r="I26" s="11">
        <f>SUM($H$21:H26)</f>
        <v>72000</v>
      </c>
      <c r="J26" s="11">
        <f t="shared" si="6"/>
        <v>52981.621875000012</v>
      </c>
      <c r="K26" s="11">
        <f t="shared" si="7"/>
        <v>19018.378124999988</v>
      </c>
      <c r="L26" s="14">
        <f t="shared" si="8"/>
        <v>6</v>
      </c>
    </row>
    <row r="27" spans="1:12" x14ac:dyDescent="0.25">
      <c r="A27" s="14">
        <v>7</v>
      </c>
      <c r="B27" s="11">
        <f t="shared" si="0"/>
        <v>139667.45921874998</v>
      </c>
      <c r="C27" s="11">
        <f t="shared" si="1"/>
        <v>0</v>
      </c>
      <c r="D27" s="11">
        <f t="shared" si="2"/>
        <v>0</v>
      </c>
      <c r="E27" s="11">
        <f t="shared" si="3"/>
        <v>0</v>
      </c>
      <c r="F27" s="11">
        <f>SUM($E$21:E27)</f>
        <v>0</v>
      </c>
      <c r="G27" s="11">
        <f t="shared" si="4"/>
        <v>12000</v>
      </c>
      <c r="H27" s="11">
        <f t="shared" si="5"/>
        <v>12000</v>
      </c>
      <c r="I27" s="11">
        <f>SUM($H$21:H27)</f>
        <v>84000</v>
      </c>
      <c r="J27" s="11">
        <f t="shared" si="6"/>
        <v>60332.54078125002</v>
      </c>
      <c r="K27" s="11">
        <f t="shared" si="7"/>
        <v>23667.45921874998</v>
      </c>
      <c r="L27" s="14">
        <f t="shared" si="8"/>
        <v>7</v>
      </c>
    </row>
    <row r="28" spans="1:12" x14ac:dyDescent="0.25">
      <c r="A28" s="14">
        <v>8</v>
      </c>
      <c r="B28" s="11">
        <f t="shared" si="0"/>
        <v>132684.08625781251</v>
      </c>
      <c r="C28" s="11">
        <f t="shared" si="1"/>
        <v>0</v>
      </c>
      <c r="D28" s="11">
        <f t="shared" si="2"/>
        <v>0</v>
      </c>
      <c r="E28" s="11">
        <f t="shared" si="3"/>
        <v>0</v>
      </c>
      <c r="F28" s="11">
        <f>SUM($E$21:E28)</f>
        <v>0</v>
      </c>
      <c r="G28" s="11">
        <f t="shared" si="4"/>
        <v>12000</v>
      </c>
      <c r="H28" s="11">
        <f t="shared" si="5"/>
        <v>12000</v>
      </c>
      <c r="I28" s="11">
        <f>SUM($H$21:H28)</f>
        <v>96000</v>
      </c>
      <c r="J28" s="11">
        <f t="shared" si="6"/>
        <v>67315.913742187491</v>
      </c>
      <c r="K28" s="11">
        <f t="shared" si="7"/>
        <v>28684.086257812509</v>
      </c>
      <c r="L28" s="14">
        <f t="shared" si="8"/>
        <v>8</v>
      </c>
    </row>
    <row r="29" spans="1:12" x14ac:dyDescent="0.25">
      <c r="A29" s="14">
        <v>9</v>
      </c>
      <c r="B29" s="11">
        <f t="shared" si="0"/>
        <v>126049.88194492186</v>
      </c>
      <c r="C29" s="11">
        <f t="shared" si="1"/>
        <v>0</v>
      </c>
      <c r="D29" s="11">
        <f t="shared" si="2"/>
        <v>0</v>
      </c>
      <c r="E29" s="11">
        <f t="shared" si="3"/>
        <v>0</v>
      </c>
      <c r="F29" s="11">
        <f>SUM($E$21:E29)</f>
        <v>0</v>
      </c>
      <c r="G29" s="11">
        <f t="shared" si="4"/>
        <v>12000</v>
      </c>
      <c r="H29" s="11">
        <f t="shared" si="5"/>
        <v>12000</v>
      </c>
      <c r="I29" s="11">
        <f>SUM($H$21:H29)</f>
        <v>108000</v>
      </c>
      <c r="J29" s="11">
        <f t="shared" si="6"/>
        <v>73950.118055078143</v>
      </c>
      <c r="K29" s="11">
        <f t="shared" si="7"/>
        <v>34049.881944921857</v>
      </c>
      <c r="L29" s="14">
        <f t="shared" si="8"/>
        <v>9</v>
      </c>
    </row>
    <row r="30" spans="1:12" x14ac:dyDescent="0.25">
      <c r="A30" s="14">
        <v>10</v>
      </c>
      <c r="B30" s="11">
        <f t="shared" si="0"/>
        <v>119747.38784767578</v>
      </c>
      <c r="C30" s="11">
        <f t="shared" si="1"/>
        <v>0</v>
      </c>
      <c r="D30" s="11">
        <f t="shared" si="2"/>
        <v>0</v>
      </c>
      <c r="E30" s="11">
        <f t="shared" si="3"/>
        <v>0</v>
      </c>
      <c r="F30" s="11">
        <f>SUM($E$21:E30)</f>
        <v>0</v>
      </c>
      <c r="G30" s="11">
        <f t="shared" si="4"/>
        <v>12000</v>
      </c>
      <c r="H30" s="11">
        <f t="shared" si="5"/>
        <v>12000</v>
      </c>
      <c r="I30" s="11">
        <f>SUM($H$21:H30)</f>
        <v>120000</v>
      </c>
      <c r="J30" s="11">
        <f t="shared" si="6"/>
        <v>80252.612152324218</v>
      </c>
      <c r="K30" s="11">
        <f t="shared" si="7"/>
        <v>39747.387847675782</v>
      </c>
      <c r="L30" s="14">
        <f t="shared" si="8"/>
        <v>10</v>
      </c>
    </row>
    <row r="31" spans="1:12" x14ac:dyDescent="0.25">
      <c r="A31" s="14">
        <v>11</v>
      </c>
      <c r="B31" s="11">
        <f t="shared" si="0"/>
        <v>113760.01845529198</v>
      </c>
      <c r="C31" s="11">
        <f t="shared" si="1"/>
        <v>0</v>
      </c>
      <c r="D31" s="11">
        <f t="shared" si="2"/>
        <v>0</v>
      </c>
      <c r="E31" s="11">
        <f t="shared" si="3"/>
        <v>0</v>
      </c>
      <c r="F31" s="11">
        <f>SUM($E$21:E31)</f>
        <v>0</v>
      </c>
      <c r="G31" s="11">
        <f t="shared" si="4"/>
        <v>12000</v>
      </c>
      <c r="H31" s="11">
        <f t="shared" si="5"/>
        <v>12000</v>
      </c>
      <c r="I31" s="11">
        <f>SUM($H$21:H31)</f>
        <v>132000</v>
      </c>
      <c r="J31" s="11">
        <f t="shared" si="6"/>
        <v>86239.981544708018</v>
      </c>
      <c r="K31" s="11">
        <f t="shared" si="7"/>
        <v>45760.018455291982</v>
      </c>
      <c r="L31" s="14">
        <f t="shared" si="8"/>
        <v>11</v>
      </c>
    </row>
    <row r="32" spans="1:12" x14ac:dyDescent="0.25">
      <c r="A32" s="14">
        <v>12</v>
      </c>
      <c r="B32" s="11">
        <f t="shared" si="0"/>
        <v>108072.01753252737</v>
      </c>
      <c r="C32" s="11">
        <f t="shared" si="1"/>
        <v>0</v>
      </c>
      <c r="D32" s="11">
        <f t="shared" si="2"/>
        <v>0</v>
      </c>
      <c r="E32" s="11">
        <f t="shared" si="3"/>
        <v>0</v>
      </c>
      <c r="F32" s="11">
        <f>SUM($E$21:E32)</f>
        <v>0</v>
      </c>
      <c r="G32" s="11">
        <f t="shared" si="4"/>
        <v>12000</v>
      </c>
      <c r="H32" s="11">
        <f t="shared" si="5"/>
        <v>12000</v>
      </c>
      <c r="I32" s="11">
        <f>SUM($H$21:H32)</f>
        <v>144000</v>
      </c>
      <c r="J32" s="11">
        <f t="shared" si="6"/>
        <v>91927.982467472626</v>
      </c>
      <c r="K32" s="11">
        <f t="shared" si="7"/>
        <v>52072.017532527374</v>
      </c>
      <c r="L32" s="14">
        <f t="shared" si="8"/>
        <v>12</v>
      </c>
    </row>
    <row r="33" spans="1:12" x14ac:dyDescent="0.25">
      <c r="A33" s="14">
        <v>13</v>
      </c>
      <c r="B33" s="11">
        <f t="shared" si="0"/>
        <v>102668.416655901</v>
      </c>
      <c r="C33" s="11">
        <f t="shared" si="1"/>
        <v>0</v>
      </c>
      <c r="D33" s="11">
        <f t="shared" si="2"/>
        <v>0</v>
      </c>
      <c r="E33" s="11">
        <f t="shared" si="3"/>
        <v>0</v>
      </c>
      <c r="F33" s="11">
        <f>SUM($E$21:E33)</f>
        <v>0</v>
      </c>
      <c r="G33" s="11">
        <f t="shared" si="4"/>
        <v>12000</v>
      </c>
      <c r="H33" s="11">
        <f t="shared" si="5"/>
        <v>12000</v>
      </c>
      <c r="I33" s="11">
        <f>SUM($H$21:H33)</f>
        <v>156000</v>
      </c>
      <c r="J33" s="11">
        <f t="shared" si="6"/>
        <v>97331.583344098995</v>
      </c>
      <c r="K33" s="11">
        <f t="shared" si="7"/>
        <v>58668.416655901005</v>
      </c>
      <c r="L33" s="14">
        <f t="shared" si="8"/>
        <v>13</v>
      </c>
    </row>
    <row r="34" spans="1:12" x14ac:dyDescent="0.25">
      <c r="A34" s="14">
        <v>14</v>
      </c>
      <c r="B34" s="11">
        <f t="shared" si="0"/>
        <v>97534.995823105957</v>
      </c>
      <c r="C34" s="11">
        <f t="shared" si="1"/>
        <v>0</v>
      </c>
      <c r="D34" s="11">
        <f t="shared" si="2"/>
        <v>0</v>
      </c>
      <c r="E34" s="11">
        <f t="shared" si="3"/>
        <v>0</v>
      </c>
      <c r="F34" s="11">
        <f>SUM($E$21:E34)</f>
        <v>0</v>
      </c>
      <c r="G34" s="11">
        <f t="shared" si="4"/>
        <v>12000</v>
      </c>
      <c r="H34" s="11">
        <f t="shared" si="5"/>
        <v>12000</v>
      </c>
      <c r="I34" s="11">
        <f>SUM($H$21:H34)</f>
        <v>168000</v>
      </c>
      <c r="J34" s="11">
        <f t="shared" si="6"/>
        <v>102465.00417689404</v>
      </c>
      <c r="K34" s="11">
        <f t="shared" si="7"/>
        <v>65534.995823105957</v>
      </c>
      <c r="L34" s="14">
        <f t="shared" si="8"/>
        <v>14</v>
      </c>
    </row>
    <row r="35" spans="1:12" x14ac:dyDescent="0.25">
      <c r="A35" s="14">
        <v>15</v>
      </c>
      <c r="B35" s="11">
        <f t="shared" si="0"/>
        <v>92658.246031950664</v>
      </c>
      <c r="C35" s="11">
        <f t="shared" si="1"/>
        <v>0</v>
      </c>
      <c r="D35" s="11">
        <f t="shared" si="2"/>
        <v>0</v>
      </c>
      <c r="E35" s="11">
        <f t="shared" si="3"/>
        <v>0</v>
      </c>
      <c r="F35" s="11">
        <f>SUM($E$21:E35)</f>
        <v>0</v>
      </c>
      <c r="G35" s="11">
        <f t="shared" si="4"/>
        <v>12000</v>
      </c>
      <c r="H35" s="11">
        <f t="shared" si="5"/>
        <v>12000</v>
      </c>
      <c r="I35" s="11">
        <f>SUM($H$21:H35)</f>
        <v>180000</v>
      </c>
      <c r="J35" s="11">
        <f t="shared" si="6"/>
        <v>107341.75396804934</v>
      </c>
      <c r="K35" s="11">
        <f t="shared" si="7"/>
        <v>72658.246031950664</v>
      </c>
      <c r="L35" s="14">
        <f t="shared" si="8"/>
        <v>15</v>
      </c>
    </row>
    <row r="36" spans="1:12" x14ac:dyDescent="0.25">
      <c r="A36" s="14">
        <v>16</v>
      </c>
      <c r="B36" s="11">
        <f t="shared" si="0"/>
        <v>88025.33373035313</v>
      </c>
      <c r="C36" s="11">
        <f t="shared" si="1"/>
        <v>0</v>
      </c>
      <c r="D36" s="11">
        <f t="shared" si="2"/>
        <v>0</v>
      </c>
      <c r="E36" s="11">
        <f t="shared" si="3"/>
        <v>0</v>
      </c>
      <c r="F36" s="11">
        <f>SUM($E$21:E36)</f>
        <v>0</v>
      </c>
      <c r="G36" s="11">
        <f t="shared" si="4"/>
        <v>12000</v>
      </c>
      <c r="H36" s="11">
        <f t="shared" si="5"/>
        <v>12000</v>
      </c>
      <c r="I36" s="11">
        <f>SUM($H$21:H36)</f>
        <v>192000</v>
      </c>
      <c r="J36" s="11">
        <f t="shared" si="6"/>
        <v>111974.66626964687</v>
      </c>
      <c r="K36" s="11">
        <f t="shared" si="7"/>
        <v>80025.33373035313</v>
      </c>
      <c r="L36" s="14">
        <f t="shared" si="8"/>
        <v>16</v>
      </c>
    </row>
    <row r="37" spans="1:12" x14ac:dyDescent="0.25">
      <c r="A37" s="14">
        <v>17</v>
      </c>
      <c r="B37" s="11">
        <f t="shared" si="0"/>
        <v>83624.067043835472</v>
      </c>
      <c r="C37" s="11">
        <f t="shared" si="1"/>
        <v>0</v>
      </c>
      <c r="D37" s="11">
        <f t="shared" si="2"/>
        <v>0</v>
      </c>
      <c r="E37" s="11">
        <f t="shared" si="3"/>
        <v>0</v>
      </c>
      <c r="F37" s="11">
        <f>SUM($E$21:E37)</f>
        <v>0</v>
      </c>
      <c r="G37" s="11">
        <f t="shared" si="4"/>
        <v>12000</v>
      </c>
      <c r="H37" s="11">
        <f t="shared" si="5"/>
        <v>12000</v>
      </c>
      <c r="I37" s="11">
        <f>SUM($H$21:H37)</f>
        <v>204000</v>
      </c>
      <c r="J37" s="11">
        <f t="shared" si="6"/>
        <v>116375.93295616453</v>
      </c>
      <c r="K37" s="11">
        <f t="shared" si="7"/>
        <v>87624.067043835472</v>
      </c>
      <c r="L37" s="14">
        <f t="shared" si="8"/>
        <v>17</v>
      </c>
    </row>
    <row r="38" spans="1:12" x14ac:dyDescent="0.25">
      <c r="A38" s="14">
        <v>18</v>
      </c>
      <c r="B38" s="11">
        <f t="shared" si="0"/>
        <v>79442.863691643695</v>
      </c>
      <c r="C38" s="11">
        <f t="shared" si="1"/>
        <v>0</v>
      </c>
      <c r="D38" s="11">
        <f t="shared" si="2"/>
        <v>0</v>
      </c>
      <c r="E38" s="11">
        <f t="shared" si="3"/>
        <v>0</v>
      </c>
      <c r="F38" s="11">
        <f>SUM($E$21:E38)</f>
        <v>0</v>
      </c>
      <c r="G38" s="11">
        <f t="shared" si="4"/>
        <v>12000</v>
      </c>
      <c r="H38" s="11">
        <f t="shared" si="5"/>
        <v>12000</v>
      </c>
      <c r="I38" s="11">
        <f>SUM($H$21:H38)</f>
        <v>216000</v>
      </c>
      <c r="J38" s="11">
        <f t="shared" si="6"/>
        <v>120557.1363083563</v>
      </c>
      <c r="K38" s="11">
        <f t="shared" si="7"/>
        <v>95442.863691643695</v>
      </c>
      <c r="L38" s="14">
        <f t="shared" si="8"/>
        <v>18</v>
      </c>
    </row>
    <row r="39" spans="1:12" x14ac:dyDescent="0.25">
      <c r="A39" s="14">
        <v>19</v>
      </c>
      <c r="B39" s="11">
        <f t="shared" si="0"/>
        <v>75470.720507061502</v>
      </c>
      <c r="C39" s="11">
        <f t="shared" si="1"/>
        <v>0</v>
      </c>
      <c r="D39" s="11">
        <f t="shared" si="2"/>
        <v>0</v>
      </c>
      <c r="E39" s="11">
        <f t="shared" si="3"/>
        <v>0</v>
      </c>
      <c r="F39" s="11">
        <f>SUM($E$21:E39)</f>
        <v>0</v>
      </c>
      <c r="G39" s="11">
        <f t="shared" si="4"/>
        <v>12000</v>
      </c>
      <c r="H39" s="11">
        <f t="shared" si="5"/>
        <v>12000</v>
      </c>
      <c r="I39" s="11">
        <f>SUM($H$21:H39)</f>
        <v>228000</v>
      </c>
      <c r="J39" s="11">
        <f t="shared" si="6"/>
        <v>124529.2794929385</v>
      </c>
      <c r="K39" s="11">
        <f t="shared" si="7"/>
        <v>103470.7205070615</v>
      </c>
      <c r="L39" s="14">
        <f t="shared" si="8"/>
        <v>19</v>
      </c>
    </row>
    <row r="40" spans="1:12" x14ac:dyDescent="0.25">
      <c r="A40" s="14">
        <v>20</v>
      </c>
      <c r="B40" s="11">
        <f t="shared" si="0"/>
        <v>71697.184481708435</v>
      </c>
      <c r="C40" s="11">
        <f t="shared" si="1"/>
        <v>0</v>
      </c>
      <c r="D40" s="11">
        <f t="shared" si="2"/>
        <v>0</v>
      </c>
      <c r="E40" s="11">
        <f t="shared" si="3"/>
        <v>0</v>
      </c>
      <c r="F40" s="11">
        <f>SUM($E$21:E40)</f>
        <v>0</v>
      </c>
      <c r="G40" s="11">
        <f t="shared" si="4"/>
        <v>12000</v>
      </c>
      <c r="H40" s="11">
        <f t="shared" si="5"/>
        <v>12000</v>
      </c>
      <c r="I40" s="11">
        <f>SUM($H$21:H40)</f>
        <v>240000</v>
      </c>
      <c r="J40" s="11">
        <f t="shared" si="6"/>
        <v>128302.81551829157</v>
      </c>
      <c r="K40" s="11">
        <f t="shared" si="7"/>
        <v>111697.18448170843</v>
      </c>
      <c r="L40" s="14">
        <f t="shared" si="8"/>
        <v>20</v>
      </c>
    </row>
    <row r="41" spans="1:12" x14ac:dyDescent="0.25">
      <c r="A41" s="14">
        <v>21</v>
      </c>
      <c r="B41" s="11">
        <f t="shared" si="0"/>
        <v>68112.325257623015</v>
      </c>
      <c r="C41" s="11">
        <f t="shared" si="1"/>
        <v>0</v>
      </c>
      <c r="D41" s="11">
        <f t="shared" si="2"/>
        <v>0</v>
      </c>
      <c r="E41" s="11">
        <f t="shared" si="3"/>
        <v>0</v>
      </c>
      <c r="F41" s="11">
        <f>SUM($E$21:E41)</f>
        <v>0</v>
      </c>
      <c r="G41" s="11">
        <f t="shared" si="4"/>
        <v>12000</v>
      </c>
      <c r="H41" s="11">
        <f t="shared" si="5"/>
        <v>12000</v>
      </c>
      <c r="I41" s="11">
        <f>SUM($H$21:H41)</f>
        <v>252000</v>
      </c>
      <c r="J41" s="11">
        <f t="shared" si="6"/>
        <v>131887.67474237698</v>
      </c>
      <c r="K41" s="11">
        <f t="shared" si="7"/>
        <v>120112.32525762302</v>
      </c>
      <c r="L41" s="14">
        <f t="shared" si="8"/>
        <v>21</v>
      </c>
    </row>
    <row r="42" spans="1:12" x14ac:dyDescent="0.25">
      <c r="A42" s="14">
        <v>22</v>
      </c>
      <c r="B42" s="11">
        <f t="shared" si="0"/>
        <v>64706.708994741857</v>
      </c>
      <c r="C42" s="11">
        <f t="shared" si="1"/>
        <v>0</v>
      </c>
      <c r="D42" s="11">
        <f t="shared" si="2"/>
        <v>0</v>
      </c>
      <c r="E42" s="11">
        <f t="shared" si="3"/>
        <v>0</v>
      </c>
      <c r="F42" s="11">
        <f>SUM($E$21:E42)</f>
        <v>0</v>
      </c>
      <c r="G42" s="11">
        <f t="shared" si="4"/>
        <v>12000</v>
      </c>
      <c r="H42" s="11">
        <f t="shared" si="5"/>
        <v>12000</v>
      </c>
      <c r="I42" s="11">
        <f>SUM($H$21:H42)</f>
        <v>264000</v>
      </c>
      <c r="J42" s="11">
        <f t="shared" si="6"/>
        <v>135293.29100525816</v>
      </c>
      <c r="K42" s="11">
        <f t="shared" si="7"/>
        <v>128706.70899474184</v>
      </c>
      <c r="L42" s="14">
        <f t="shared" si="8"/>
        <v>22</v>
      </c>
    </row>
    <row r="43" spans="1:12" x14ac:dyDescent="0.25">
      <c r="A43" s="14">
        <v>23</v>
      </c>
      <c r="B43" s="11">
        <f t="shared" si="0"/>
        <v>61471.373545004768</v>
      </c>
      <c r="C43" s="11">
        <f t="shared" si="1"/>
        <v>0</v>
      </c>
      <c r="D43" s="11">
        <f t="shared" si="2"/>
        <v>0</v>
      </c>
      <c r="E43" s="11">
        <f t="shared" si="3"/>
        <v>0</v>
      </c>
      <c r="F43" s="11">
        <f>SUM($E$21:E43)</f>
        <v>0</v>
      </c>
      <c r="G43" s="11">
        <f t="shared" si="4"/>
        <v>12000</v>
      </c>
      <c r="H43" s="11">
        <f t="shared" si="5"/>
        <v>12000</v>
      </c>
      <c r="I43" s="11">
        <f>SUM($H$21:H43)</f>
        <v>276000</v>
      </c>
      <c r="J43" s="11">
        <f t="shared" si="6"/>
        <v>138528.62645499525</v>
      </c>
      <c r="K43" s="11">
        <f t="shared" si="7"/>
        <v>137471.37354500475</v>
      </c>
      <c r="L43" s="14">
        <f t="shared" si="8"/>
        <v>23</v>
      </c>
    </row>
    <row r="44" spans="1:12" x14ac:dyDescent="0.25">
      <c r="A44" s="14">
        <v>24</v>
      </c>
      <c r="B44" s="11">
        <f t="shared" si="0"/>
        <v>58397.80486775453</v>
      </c>
      <c r="C44" s="11">
        <f t="shared" si="1"/>
        <v>0</v>
      </c>
      <c r="D44" s="11">
        <f t="shared" si="2"/>
        <v>0</v>
      </c>
      <c r="E44" s="11">
        <f t="shared" si="3"/>
        <v>0</v>
      </c>
      <c r="F44" s="11">
        <f>SUM($E$21:E44)</f>
        <v>0</v>
      </c>
      <c r="G44" s="11">
        <f t="shared" si="4"/>
        <v>12000</v>
      </c>
      <c r="H44" s="11">
        <f t="shared" si="5"/>
        <v>12000</v>
      </c>
      <c r="I44" s="11">
        <f>SUM($H$21:H44)</f>
        <v>288000</v>
      </c>
      <c r="J44" s="11">
        <f t="shared" si="6"/>
        <v>141602.19513224548</v>
      </c>
      <c r="K44" s="11">
        <f t="shared" si="7"/>
        <v>146397.80486775452</v>
      </c>
      <c r="L44" s="14">
        <f t="shared" si="8"/>
        <v>24</v>
      </c>
    </row>
    <row r="45" spans="1:12" x14ac:dyDescent="0.25">
      <c r="A45" s="14">
        <v>25</v>
      </c>
      <c r="B45" s="11">
        <f t="shared" si="0"/>
        <v>55477.9146243668</v>
      </c>
      <c r="C45" s="11">
        <f t="shared" si="1"/>
        <v>0</v>
      </c>
      <c r="D45" s="11">
        <f t="shared" si="2"/>
        <v>0</v>
      </c>
      <c r="E45" s="11">
        <f t="shared" si="3"/>
        <v>0</v>
      </c>
      <c r="F45" s="11">
        <f>SUM($E$21:E45)</f>
        <v>0</v>
      </c>
      <c r="G45" s="11">
        <f t="shared" si="4"/>
        <v>12000</v>
      </c>
      <c r="H45" s="11">
        <f t="shared" si="5"/>
        <v>12000</v>
      </c>
      <c r="I45" s="11">
        <f>SUM($H$21:H45)</f>
        <v>300000</v>
      </c>
      <c r="J45" s="11">
        <f t="shared" si="6"/>
        <v>144522.08537563321</v>
      </c>
      <c r="K45" s="11">
        <f t="shared" si="7"/>
        <v>155477.91462436679</v>
      </c>
      <c r="L45" s="14">
        <f t="shared" si="8"/>
        <v>25</v>
      </c>
    </row>
    <row r="46" spans="1:12" x14ac:dyDescent="0.25">
      <c r="A46" s="14">
        <v>26</v>
      </c>
      <c r="B46" s="11">
        <f t="shared" si="0"/>
        <v>52704.018893148466</v>
      </c>
      <c r="C46" s="11">
        <f t="shared" si="1"/>
        <v>0</v>
      </c>
      <c r="D46" s="11">
        <f t="shared" si="2"/>
        <v>0</v>
      </c>
      <c r="E46" s="11">
        <f t="shared" si="3"/>
        <v>0</v>
      </c>
      <c r="F46" s="11">
        <f>SUM($E$21:E46)</f>
        <v>0</v>
      </c>
      <c r="G46" s="11">
        <f t="shared" si="4"/>
        <v>12000</v>
      </c>
      <c r="H46" s="11">
        <f t="shared" si="5"/>
        <v>12000</v>
      </c>
      <c r="I46" s="11">
        <f>SUM($H$21:H46)</f>
        <v>312000</v>
      </c>
      <c r="J46" s="11">
        <f t="shared" si="6"/>
        <v>147295.98110685154</v>
      </c>
      <c r="K46" s="11">
        <f t="shared" si="7"/>
        <v>164704.01889314846</v>
      </c>
      <c r="L46" s="14">
        <f t="shared" si="8"/>
        <v>26</v>
      </c>
    </row>
    <row r="47" spans="1:12" x14ac:dyDescent="0.25">
      <c r="A47" s="14">
        <v>27</v>
      </c>
      <c r="B47" s="11">
        <f t="shared" si="0"/>
        <v>50068.817948491043</v>
      </c>
      <c r="C47" s="11">
        <f t="shared" si="1"/>
        <v>0</v>
      </c>
      <c r="D47" s="11">
        <f t="shared" si="2"/>
        <v>0</v>
      </c>
      <c r="E47" s="11">
        <f t="shared" si="3"/>
        <v>0</v>
      </c>
      <c r="F47" s="11">
        <f>SUM($E$21:E47)</f>
        <v>0</v>
      </c>
      <c r="G47" s="11">
        <f t="shared" si="4"/>
        <v>12000</v>
      </c>
      <c r="H47" s="11">
        <f t="shared" si="5"/>
        <v>12000</v>
      </c>
      <c r="I47" s="11">
        <f>SUM($H$21:H47)</f>
        <v>324000</v>
      </c>
      <c r="J47" s="11">
        <f t="shared" si="6"/>
        <v>149931.18205150895</v>
      </c>
      <c r="K47" s="11">
        <f t="shared" si="7"/>
        <v>174068.81794849105</v>
      </c>
      <c r="L47" s="14">
        <f t="shared" si="8"/>
        <v>27</v>
      </c>
    </row>
    <row r="48" spans="1:12" x14ac:dyDescent="0.25">
      <c r="A48" s="14">
        <v>28</v>
      </c>
      <c r="B48" s="11">
        <f t="shared" si="0"/>
        <v>47565.377051066484</v>
      </c>
      <c r="C48" s="11">
        <f t="shared" si="1"/>
        <v>0</v>
      </c>
      <c r="D48" s="11">
        <f t="shared" si="2"/>
        <v>0</v>
      </c>
      <c r="E48" s="11">
        <f t="shared" si="3"/>
        <v>0</v>
      </c>
      <c r="F48" s="11">
        <f>SUM($E$21:E48)</f>
        <v>0</v>
      </c>
      <c r="G48" s="11">
        <f t="shared" si="4"/>
        <v>12000</v>
      </c>
      <c r="H48" s="11">
        <f t="shared" si="5"/>
        <v>12000</v>
      </c>
      <c r="I48" s="11">
        <f>SUM($H$21:H48)</f>
        <v>336000</v>
      </c>
      <c r="J48" s="11">
        <f t="shared" si="6"/>
        <v>152434.62294893351</v>
      </c>
      <c r="K48" s="11">
        <f t="shared" si="7"/>
        <v>183565.37705106649</v>
      </c>
      <c r="L48" s="14">
        <f t="shared" si="8"/>
        <v>28</v>
      </c>
    </row>
    <row r="49" spans="1:12" x14ac:dyDescent="0.25">
      <c r="A49" s="14">
        <v>29</v>
      </c>
      <c r="B49" s="11">
        <f t="shared" si="0"/>
        <v>45187.10819851316</v>
      </c>
      <c r="C49" s="11">
        <f t="shared" si="1"/>
        <v>0</v>
      </c>
      <c r="D49" s="11">
        <f t="shared" si="2"/>
        <v>0</v>
      </c>
      <c r="E49" s="11">
        <f t="shared" si="3"/>
        <v>0</v>
      </c>
      <c r="F49" s="11">
        <f>SUM($E$21:E49)</f>
        <v>0</v>
      </c>
      <c r="G49" s="11">
        <f t="shared" si="4"/>
        <v>12000</v>
      </c>
      <c r="H49" s="11">
        <f t="shared" si="5"/>
        <v>12000</v>
      </c>
      <c r="I49" s="11">
        <f>SUM($H$21:H49)</f>
        <v>348000</v>
      </c>
      <c r="J49" s="11">
        <f t="shared" si="6"/>
        <v>154812.89180148684</v>
      </c>
      <c r="K49" s="11">
        <f t="shared" si="7"/>
        <v>193187.10819851316</v>
      </c>
      <c r="L49" s="14">
        <f t="shared" si="8"/>
        <v>29</v>
      </c>
    </row>
    <row r="50" spans="1:12" x14ac:dyDescent="0.25">
      <c r="A50" s="14">
        <v>30</v>
      </c>
      <c r="B50" s="11">
        <f t="shared" si="0"/>
        <v>42927.752788587495</v>
      </c>
      <c r="C50" s="11">
        <f t="shared" si="1"/>
        <v>0</v>
      </c>
      <c r="D50" s="11">
        <f t="shared" si="2"/>
        <v>0</v>
      </c>
      <c r="E50" s="11">
        <f t="shared" si="3"/>
        <v>0</v>
      </c>
      <c r="F50" s="11">
        <f>SUM($E$21:E50)</f>
        <v>0</v>
      </c>
      <c r="G50" s="11">
        <f t="shared" si="4"/>
        <v>12000</v>
      </c>
      <c r="H50" s="11">
        <f t="shared" si="5"/>
        <v>12000</v>
      </c>
      <c r="I50" s="11">
        <f>SUM($H$21:H50)</f>
        <v>360000</v>
      </c>
      <c r="J50" s="11">
        <f t="shared" si="6"/>
        <v>157072.2472114125</v>
      </c>
      <c r="K50" s="11">
        <f t="shared" si="7"/>
        <v>202927.7527885875</v>
      </c>
      <c r="L50" s="14">
        <f t="shared" si="8"/>
        <v>30</v>
      </c>
    </row>
  </sheetData>
  <mergeCells count="1">
    <mergeCell ref="A2:L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50"/>
  <sheetViews>
    <sheetView workbookViewId="0">
      <pane ySplit="20" topLeftCell="A21" activePane="bottomLeft" state="frozen"/>
      <selection pane="bottomLeft"/>
    </sheetView>
  </sheetViews>
  <sheetFormatPr defaultRowHeight="15" x14ac:dyDescent="0.25"/>
  <cols>
    <col min="1" max="1" width="27" customWidth="1"/>
    <col min="2" max="3" width="15" customWidth="1"/>
    <col min="4" max="4" width="30" customWidth="1"/>
    <col min="5" max="5" width="17" customWidth="1"/>
    <col min="6" max="6" width="15" customWidth="1"/>
    <col min="7" max="7" width="17" customWidth="1"/>
    <col min="8" max="10" width="15" customWidth="1"/>
    <col min="11" max="11" width="17" customWidth="1"/>
    <col min="12" max="12" width="11" customWidth="1"/>
  </cols>
  <sheetData>
    <row r="1" spans="1:12" ht="16.5" x14ac:dyDescent="0.25">
      <c r="A1" s="1" t="s">
        <v>121</v>
      </c>
    </row>
    <row r="2" spans="1:12" ht="48" customHeight="1" x14ac:dyDescent="0.25">
      <c r="A2" s="22" t="s">
        <v>122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x14ac:dyDescent="0.25">
      <c r="A3" t="s">
        <v>54</v>
      </c>
      <c r="D3" t="s">
        <v>55</v>
      </c>
    </row>
    <row r="4" spans="1:12" x14ac:dyDescent="0.25">
      <c r="A4" s="2" t="s">
        <v>56</v>
      </c>
      <c r="B4" s="10">
        <v>400000</v>
      </c>
      <c r="D4" s="2" t="s">
        <v>57</v>
      </c>
      <c r="E4" s="11">
        <f>(1-$B$6)*$B$4</f>
        <v>320000</v>
      </c>
    </row>
    <row r="5" spans="1:12" x14ac:dyDescent="0.25">
      <c r="A5" s="2" t="s">
        <v>58</v>
      </c>
      <c r="B5" s="10">
        <v>2000</v>
      </c>
      <c r="D5" s="2" t="s">
        <v>59</v>
      </c>
      <c r="E5" s="12">
        <f>$B$7/12</f>
        <v>5.2937499999999998E-3</v>
      </c>
    </row>
    <row r="6" spans="1:12" x14ac:dyDescent="0.25">
      <c r="A6" s="2" t="s">
        <v>60</v>
      </c>
      <c r="B6" s="13">
        <v>0.2</v>
      </c>
      <c r="D6" s="2" t="s">
        <v>61</v>
      </c>
      <c r="E6" s="14">
        <f>12*$B$8</f>
        <v>360</v>
      </c>
    </row>
    <row r="7" spans="1:12" x14ac:dyDescent="0.25">
      <c r="A7" s="2" t="s">
        <v>62</v>
      </c>
      <c r="B7" s="15">
        <v>6.3524999999999998E-2</v>
      </c>
      <c r="D7" s="2" t="s">
        <v>63</v>
      </c>
      <c r="E7" s="11">
        <f>IF($E$4=0,0,IF($E$5=0,$E$4/$E$6,$E$4*$E$5*(1+$E$5)^$E$6/((1+$E$5)^$E$6-1)))</f>
        <v>1991.6769372308017</v>
      </c>
      <c r="H7" s="10">
        <v>1991.676937230794</v>
      </c>
      <c r="I7" s="2" t="str">
        <f>IF(ABS(E7-H7)&lt;0.01,"PASS","FAIL")</f>
        <v>PASS</v>
      </c>
    </row>
    <row r="8" spans="1:12" x14ac:dyDescent="0.25">
      <c r="A8" s="2" t="s">
        <v>64</v>
      </c>
      <c r="B8" s="16">
        <v>30</v>
      </c>
      <c r="G8" s="17" t="s">
        <v>65</v>
      </c>
      <c r="H8" s="17" t="s">
        <v>66</v>
      </c>
      <c r="I8" s="17" t="s">
        <v>67</v>
      </c>
      <c r="J8" s="17" t="s">
        <v>68</v>
      </c>
    </row>
    <row r="9" spans="1:12" x14ac:dyDescent="0.25">
      <c r="A9" s="2" t="s">
        <v>69</v>
      </c>
      <c r="B9" s="16">
        <v>7</v>
      </c>
      <c r="D9" s="2" t="s">
        <v>70</v>
      </c>
      <c r="E9" s="11">
        <f>INDEX(J21:J50,$B$9)</f>
        <v>149467.46387093735</v>
      </c>
      <c r="H9" s="10">
        <v>149467.46387093709</v>
      </c>
      <c r="I9" s="2" t="str">
        <f>IF(ABS(E9-H9)&lt;0.01,"PASS","FAIL")</f>
        <v>PASS</v>
      </c>
    </row>
    <row r="10" spans="1:12" x14ac:dyDescent="0.25">
      <c r="A10" s="2" t="s">
        <v>71</v>
      </c>
      <c r="B10" s="13">
        <v>0.01</v>
      </c>
      <c r="D10" s="2" t="s">
        <v>72</v>
      </c>
      <c r="E10" s="11">
        <f>INDEX(I21:I50,$B$9)</f>
        <v>153609.2355156008</v>
      </c>
      <c r="H10" s="10">
        <v>153609.2355156008</v>
      </c>
      <c r="I10" s="2" t="str">
        <f>IF(ABS(E10-H10)&lt;0.01,"PASS","FAIL")</f>
        <v>PASS</v>
      </c>
    </row>
    <row r="11" spans="1:12" x14ac:dyDescent="0.25">
      <c r="A11" s="2" t="s">
        <v>73</v>
      </c>
      <c r="B11" s="13">
        <v>0.01</v>
      </c>
      <c r="D11" s="3" t="s">
        <v>74</v>
      </c>
      <c r="E11" s="18">
        <f>INDEX(K21:K50,$B$9)</f>
        <v>4141.771644663444</v>
      </c>
      <c r="H11" s="10">
        <v>4141.7716446636769</v>
      </c>
      <c r="I11" s="2" t="str">
        <f>IF(ABS(E11-H11)&lt;0.01,"PASS","FAIL")</f>
        <v>PASS</v>
      </c>
    </row>
    <row r="12" spans="1:12" x14ac:dyDescent="0.25">
      <c r="A12" s="2" t="s">
        <v>75</v>
      </c>
      <c r="B12" s="13">
        <v>3.5000000000000001E-3</v>
      </c>
      <c r="D12" s="2" t="s">
        <v>76</v>
      </c>
      <c r="E12" s="19" t="str">
        <f>IF(E11&gt;=0,"buy","rent")</f>
        <v>buy</v>
      </c>
      <c r="H12" s="20" t="s">
        <v>77</v>
      </c>
      <c r="I12" s="2" t="str">
        <f>IF(E12=H12,"PASS","FAIL")</f>
        <v>PASS</v>
      </c>
    </row>
    <row r="13" spans="1:12" x14ac:dyDescent="0.25">
      <c r="A13" s="2" t="s">
        <v>78</v>
      </c>
      <c r="B13" s="13">
        <v>0.03</v>
      </c>
      <c r="D13" s="2" t="s">
        <v>79</v>
      </c>
      <c r="E13" s="14">
        <f>IF(COUNT(L21:L50)=0,"never",MIN(L21:L50))</f>
        <v>7</v>
      </c>
      <c r="H13" s="16">
        <v>7</v>
      </c>
      <c r="I13" s="2" t="str">
        <f>IF(ABS(E13-H13)&lt;0.01,"PASS","FAIL")</f>
        <v>PASS</v>
      </c>
    </row>
    <row r="14" spans="1:12" x14ac:dyDescent="0.25">
      <c r="A14" s="2" t="s">
        <v>80</v>
      </c>
      <c r="B14" s="13">
        <v>0.06</v>
      </c>
      <c r="D14" s="2" t="s">
        <v>81</v>
      </c>
      <c r="E14" s="11">
        <f>($B$15+$B$10+$B$11+$B$12-$B$16)*$B$4</f>
        <v>14280.000000000004</v>
      </c>
      <c r="H14" s="10">
        <v>14280</v>
      </c>
      <c r="I14" s="2" t="str">
        <f>IF(ABS(E14-H14)&lt;0.01,"PASS","FAIL")</f>
        <v>PASS</v>
      </c>
    </row>
    <row r="15" spans="1:12" x14ac:dyDescent="0.25">
      <c r="A15" s="2" t="s">
        <v>82</v>
      </c>
      <c r="B15" s="13">
        <v>0.05</v>
      </c>
      <c r="D15" s="2" t="s">
        <v>83</v>
      </c>
      <c r="E15" s="11">
        <f>12*$B$5</f>
        <v>24000</v>
      </c>
      <c r="H15" s="10">
        <v>24000</v>
      </c>
      <c r="I15" s="2" t="str">
        <f>IF(ABS(E15-H15)&lt;0.01,"PASS","FAIL")</f>
        <v>PASS</v>
      </c>
    </row>
    <row r="16" spans="1:12" x14ac:dyDescent="0.25">
      <c r="A16" s="2" t="s">
        <v>84</v>
      </c>
      <c r="B16" s="13">
        <v>3.78E-2</v>
      </c>
      <c r="D16" s="2" t="s">
        <v>85</v>
      </c>
      <c r="E16" s="11">
        <f>INDEX(C21:C50,$B$9)</f>
        <v>288613.98138585687</v>
      </c>
      <c r="H16" s="10">
        <v>288613.98138585722</v>
      </c>
      <c r="I16" s="2" t="str">
        <f>IF(ABS(E16-H16)&lt;0.01,"PASS","FAIL")</f>
        <v>PASS</v>
      </c>
    </row>
    <row r="17" spans="1:12" x14ac:dyDescent="0.25">
      <c r="A17" s="2" t="s">
        <v>86</v>
      </c>
      <c r="B17" s="13">
        <v>3.5700000000000003E-2</v>
      </c>
      <c r="G17" s="5" t="s">
        <v>87</v>
      </c>
    </row>
    <row r="19" spans="1:12" x14ac:dyDescent="0.25">
      <c r="A19" s="3" t="s">
        <v>88</v>
      </c>
    </row>
    <row r="20" spans="1:12" ht="30" customHeight="1" x14ac:dyDescent="0.25">
      <c r="A20" s="21" t="s">
        <v>89</v>
      </c>
      <c r="B20" s="21" t="s">
        <v>90</v>
      </c>
      <c r="C20" s="21" t="s">
        <v>91</v>
      </c>
      <c r="D20" s="21" t="s">
        <v>92</v>
      </c>
      <c r="E20" s="21" t="s">
        <v>93</v>
      </c>
      <c r="F20" s="21" t="s">
        <v>94</v>
      </c>
      <c r="G20" s="21" t="s">
        <v>95</v>
      </c>
      <c r="H20" s="21" t="s">
        <v>96</v>
      </c>
      <c r="I20" s="21" t="s">
        <v>97</v>
      </c>
      <c r="J20" s="21" t="s">
        <v>98</v>
      </c>
      <c r="K20" s="21" t="s">
        <v>99</v>
      </c>
      <c r="L20" s="21" t="s">
        <v>100</v>
      </c>
    </row>
    <row r="21" spans="1:12" x14ac:dyDescent="0.25">
      <c r="A21" s="14">
        <v>1</v>
      </c>
      <c r="B21" s="11">
        <f t="shared" ref="B21:B50" si="0">$B$4*(1+$B$16)^A21</f>
        <v>415120</v>
      </c>
      <c r="C21" s="11">
        <f t="shared" ref="C21:C50" si="1">IF(OR($E$4=0,A21&gt;=$B$8),0,IF($E$5=0,$E$4-12*A21*$E$7,$E$4*(1+$E$5)^(12*A21)-$E$7*((1+$E$5)^(12*A21)-1)/$E$5))</f>
        <v>316322.01485864882</v>
      </c>
      <c r="D21" s="11">
        <f t="shared" ref="D21:D50" si="2">IF(A21&lt;=$B$8,12*$E$7,0)+($B$10+$B$11+$B$12)*$B$4*(1+$B$16)^(A21-1)</f>
        <v>33300.123246769625</v>
      </c>
      <c r="E21" s="11">
        <f t="shared" ref="E21:E50" si="3">D21/(1+$B$15)^A21</f>
        <v>31714.403092161545</v>
      </c>
      <c r="F21" s="11">
        <f>SUM($E$21:E21)</f>
        <v>31714.403092161545</v>
      </c>
      <c r="G21" s="11">
        <f t="shared" ref="G21:G50" si="4">12*$B$5*(1+$B$17)^(A21-1)</f>
        <v>24000</v>
      </c>
      <c r="H21" s="11">
        <f t="shared" ref="H21:H50" si="5">G21/(1+$B$15)^A21</f>
        <v>22857.142857142855</v>
      </c>
      <c r="I21" s="11">
        <f>SUM($H$21:H21)</f>
        <v>22857.142857142855</v>
      </c>
      <c r="J21" s="11">
        <f t="shared" ref="J21:J50" si="6">($B$6+$B$13)*$B$4+F21-(B21*(1-$B$14)-C21)/(1+$B$15)^A21</f>
        <v>53342.226767065207</v>
      </c>
      <c r="K21" s="11">
        <f t="shared" ref="K21:K50" si="7">I21-J21</f>
        <v>-30485.083909922352</v>
      </c>
      <c r="L21" s="14" t="str">
        <f t="shared" ref="L21:L50" si="8">IF(K21&gt;=0,A21,"")</f>
        <v/>
      </c>
    </row>
    <row r="22" spans="1:12" x14ac:dyDescent="0.25">
      <c r="A22" s="14">
        <v>2</v>
      </c>
      <c r="B22" s="11">
        <f t="shared" si="0"/>
        <v>430811.53600000002</v>
      </c>
      <c r="C22" s="11">
        <f t="shared" si="1"/>
        <v>312403.46153880749</v>
      </c>
      <c r="D22" s="11">
        <f t="shared" si="2"/>
        <v>33655.443246769617</v>
      </c>
      <c r="E22" s="11">
        <f t="shared" si="3"/>
        <v>30526.479135391943</v>
      </c>
      <c r="F22" s="11">
        <f>SUM($E$21:E22)</f>
        <v>62240.882227553491</v>
      </c>
      <c r="G22" s="11">
        <f t="shared" si="4"/>
        <v>24856.800000000003</v>
      </c>
      <c r="H22" s="11">
        <f t="shared" si="5"/>
        <v>22545.850340136058</v>
      </c>
      <c r="I22" s="11">
        <f>SUM($H$21:H22)</f>
        <v>45402.993197278913</v>
      </c>
      <c r="J22" s="11">
        <f t="shared" si="6"/>
        <v>70286.793972503612</v>
      </c>
      <c r="K22" s="11">
        <f t="shared" si="7"/>
        <v>-24883.800775224699</v>
      </c>
      <c r="L22" s="14" t="str">
        <f t="shared" si="8"/>
        <v/>
      </c>
    </row>
    <row r="23" spans="1:12" x14ac:dyDescent="0.25">
      <c r="A23" s="14">
        <v>3</v>
      </c>
      <c r="B23" s="11">
        <f t="shared" si="0"/>
        <v>447096.21206080011</v>
      </c>
      <c r="C23" s="11">
        <f t="shared" si="1"/>
        <v>308228.60505344433</v>
      </c>
      <c r="D23" s="11">
        <f t="shared" si="2"/>
        <v>34024.194342769624</v>
      </c>
      <c r="E23" s="11">
        <f t="shared" si="3"/>
        <v>29391.378333026343</v>
      </c>
      <c r="F23" s="11">
        <f>SUM($E$21:E23)</f>
        <v>91632.260560579831</v>
      </c>
      <c r="G23" s="11">
        <f t="shared" si="4"/>
        <v>25744.187760000001</v>
      </c>
      <c r="H23" s="11">
        <f t="shared" si="5"/>
        <v>22238.797330741818</v>
      </c>
      <c r="I23" s="11">
        <f>SUM($H$21:H23)</f>
        <v>67641.790528020734</v>
      </c>
      <c r="J23" s="11">
        <f t="shared" si="6"/>
        <v>86846.31149788016</v>
      </c>
      <c r="K23" s="11">
        <f t="shared" si="7"/>
        <v>-19204.520969859426</v>
      </c>
      <c r="L23" s="14" t="str">
        <f t="shared" si="8"/>
        <v/>
      </c>
    </row>
    <row r="24" spans="1:12" x14ac:dyDescent="0.25">
      <c r="A24" s="14">
        <v>4</v>
      </c>
      <c r="B24" s="11">
        <f t="shared" si="0"/>
        <v>463996.44887669833</v>
      </c>
      <c r="C24" s="11">
        <f t="shared" si="1"/>
        <v>303780.68122780032</v>
      </c>
      <c r="D24" s="11">
        <f t="shared" si="2"/>
        <v>34406.884230198426</v>
      </c>
      <c r="E24" s="11">
        <f t="shared" si="3"/>
        <v>28306.628806062021</v>
      </c>
      <c r="F24" s="11">
        <f>SUM($E$21:E24)</f>
        <v>119938.88936664184</v>
      </c>
      <c r="G24" s="11">
        <f t="shared" si="4"/>
        <v>26663.255263032002</v>
      </c>
      <c r="H24" s="11">
        <f t="shared" si="5"/>
        <v>21935.9260909041</v>
      </c>
      <c r="I24" s="11">
        <f>SUM($H$21:H24)</f>
        <v>89577.716618924838</v>
      </c>
      <c r="J24" s="11">
        <f t="shared" si="6"/>
        <v>103032.84242834263</v>
      </c>
      <c r="K24" s="11">
        <f t="shared" si="7"/>
        <v>-13455.12580941779</v>
      </c>
      <c r="L24" s="14" t="str">
        <f t="shared" si="8"/>
        <v/>
      </c>
    </row>
    <row r="25" spans="1:12" x14ac:dyDescent="0.25">
      <c r="A25" s="14">
        <v>5</v>
      </c>
      <c r="B25" s="11">
        <f t="shared" si="0"/>
        <v>481535.51464423758</v>
      </c>
      <c r="C25" s="11">
        <f t="shared" si="1"/>
        <v>299041.82938269048</v>
      </c>
      <c r="D25" s="11">
        <f t="shared" si="2"/>
        <v>34804.039795372031</v>
      </c>
      <c r="E25" s="11">
        <f t="shared" si="3"/>
        <v>27269.875878483537</v>
      </c>
      <c r="F25" s="11">
        <f>SUM($E$21:E25)</f>
        <v>147208.7652451254</v>
      </c>
      <c r="G25" s="11">
        <f t="shared" si="4"/>
        <v>27615.133475922245</v>
      </c>
      <c r="H25" s="11">
        <f t="shared" si="5"/>
        <v>21637.179668904166</v>
      </c>
      <c r="I25" s="11">
        <f>SUM($H$21:H25)</f>
        <v>111214.896287829</v>
      </c>
      <c r="J25" s="11">
        <f t="shared" si="6"/>
        <v>118857.92817590089</v>
      </c>
      <c r="K25" s="11">
        <f t="shared" si="7"/>
        <v>-7643.0318880718842</v>
      </c>
      <c r="L25" s="14" t="str">
        <f t="shared" si="8"/>
        <v/>
      </c>
    </row>
    <row r="26" spans="1:12" x14ac:dyDescent="0.25">
      <c r="A26" s="14">
        <v>6</v>
      </c>
      <c r="B26" s="11">
        <f t="shared" si="0"/>
        <v>499737.55709778977</v>
      </c>
      <c r="C26" s="11">
        <f t="shared" si="1"/>
        <v>293993.02061478194</v>
      </c>
      <c r="D26" s="11">
        <f t="shared" si="2"/>
        <v>35216.207840909206</v>
      </c>
      <c r="E26" s="11">
        <f t="shared" si="3"/>
        <v>26278.876502041981</v>
      </c>
      <c r="F26" s="11">
        <f>SUM($E$21:E26)</f>
        <v>173487.64174716739</v>
      </c>
      <c r="G26" s="11">
        <f t="shared" si="4"/>
        <v>28600.993741012673</v>
      </c>
      <c r="H26" s="11">
        <f t="shared" si="5"/>
        <v>21342.501888651477</v>
      </c>
      <c r="I26" s="11">
        <f>SUM($H$21:H26)</f>
        <v>132557.39817648049</v>
      </c>
      <c r="J26" s="11">
        <f t="shared" si="6"/>
        <v>134332.6124127174</v>
      </c>
      <c r="K26" s="11">
        <f t="shared" si="7"/>
        <v>-1775.214236236905</v>
      </c>
      <c r="L26" s="14" t="str">
        <f t="shared" si="8"/>
        <v/>
      </c>
    </row>
    <row r="27" spans="1:12" x14ac:dyDescent="0.25">
      <c r="A27" s="14">
        <v>7</v>
      </c>
      <c r="B27" s="11">
        <f t="shared" si="0"/>
        <v>518627.63675608631</v>
      </c>
      <c r="C27" s="11">
        <f t="shared" si="1"/>
        <v>288613.98138585687</v>
      </c>
      <c r="D27" s="11">
        <f t="shared" si="2"/>
        <v>35643.955838567679</v>
      </c>
      <c r="E27" s="11">
        <f t="shared" si="3"/>
        <v>25331.493946452585</v>
      </c>
      <c r="F27" s="11">
        <f>SUM($E$21:E27)</f>
        <v>198819.13569361999</v>
      </c>
      <c r="G27" s="11">
        <f t="shared" si="4"/>
        <v>29622.049217566822</v>
      </c>
      <c r="H27" s="11">
        <f t="shared" si="5"/>
        <v>21051.837339120313</v>
      </c>
      <c r="I27" s="11">
        <f>SUM($H$21:H27)</f>
        <v>153609.2355156008</v>
      </c>
      <c r="J27" s="11">
        <f t="shared" si="6"/>
        <v>149467.46387093735</v>
      </c>
      <c r="K27" s="11">
        <f t="shared" si="7"/>
        <v>4141.771644663444</v>
      </c>
      <c r="L27" s="14">
        <f t="shared" si="8"/>
        <v>7</v>
      </c>
    </row>
    <row r="28" spans="1:12" x14ac:dyDescent="0.25">
      <c r="A28" s="14">
        <v>8</v>
      </c>
      <c r="B28" s="11">
        <f t="shared" si="0"/>
        <v>538231.76142546639</v>
      </c>
      <c r="C28" s="11">
        <f t="shared" si="1"/>
        <v>282883.11211423238</v>
      </c>
      <c r="D28" s="11">
        <f t="shared" si="2"/>
        <v>36087.872710537646</v>
      </c>
      <c r="E28" s="11">
        <f t="shared" si="3"/>
        <v>24425.692742372768</v>
      </c>
      <c r="F28" s="11">
        <f>SUM($E$21:E28)</f>
        <v>223244.82843599276</v>
      </c>
      <c r="G28" s="11">
        <f t="shared" si="4"/>
        <v>30679.556374633958</v>
      </c>
      <c r="H28" s="11">
        <f t="shared" si="5"/>
        <v>20765.131363930392</v>
      </c>
      <c r="I28" s="11">
        <f>SUM($H$21:H28)</f>
        <v>174374.36687953118</v>
      </c>
      <c r="J28" s="11">
        <f t="shared" si="6"/>
        <v>164272.59806289754</v>
      </c>
      <c r="K28" s="11">
        <f t="shared" si="7"/>
        <v>10101.768816633645</v>
      </c>
      <c r="L28" s="14">
        <f t="shared" si="8"/>
        <v>8</v>
      </c>
    </row>
    <row r="29" spans="1:12" x14ac:dyDescent="0.25">
      <c r="A29" s="14">
        <v>9</v>
      </c>
      <c r="B29" s="11">
        <f t="shared" si="0"/>
        <v>558576.92200734897</v>
      </c>
      <c r="C29" s="11">
        <f t="shared" si="1"/>
        <v>276777.4004414411</v>
      </c>
      <c r="D29" s="11">
        <f t="shared" si="2"/>
        <v>36548.569640268077</v>
      </c>
      <c r="E29" s="11">
        <f t="shared" si="3"/>
        <v>23559.533865123893</v>
      </c>
      <c r="F29" s="11">
        <f>SUM($E$21:E29)</f>
        <v>246804.36230111666</v>
      </c>
      <c r="G29" s="11">
        <f t="shared" si="4"/>
        <v>31774.816537208397</v>
      </c>
      <c r="H29" s="11">
        <f t="shared" si="5"/>
        <v>20482.330051069246</v>
      </c>
      <c r="I29" s="11">
        <f>SUM($H$21:H29)</f>
        <v>194856.69693060042</v>
      </c>
      <c r="J29" s="11">
        <f t="shared" si="6"/>
        <v>178757.69797298886</v>
      </c>
      <c r="K29" s="11">
        <f t="shared" si="7"/>
        <v>16098.998957611562</v>
      </c>
      <c r="L29" s="14">
        <f t="shared" si="8"/>
        <v>9</v>
      </c>
    </row>
    <row r="30" spans="1:12" x14ac:dyDescent="0.25">
      <c r="A30" s="14">
        <v>10</v>
      </c>
      <c r="B30" s="11">
        <f t="shared" si="0"/>
        <v>579691.12965922686</v>
      </c>
      <c r="C30" s="11">
        <f t="shared" si="1"/>
        <v>270272.32882589346</v>
      </c>
      <c r="D30" s="11">
        <f t="shared" si="2"/>
        <v>37026.68091394232</v>
      </c>
      <c r="E30" s="11">
        <f t="shared" si="3"/>
        <v>22731.170147693865</v>
      </c>
      <c r="F30" s="11">
        <f>SUM($E$21:E30)</f>
        <v>269535.53244881053</v>
      </c>
      <c r="G30" s="11">
        <f t="shared" si="4"/>
        <v>32909.177487586741</v>
      </c>
      <c r="H30" s="11">
        <f t="shared" si="5"/>
        <v>20203.380222754688</v>
      </c>
      <c r="I30" s="11">
        <f>SUM($H$21:H30)</f>
        <v>215060.07715335512</v>
      </c>
      <c r="J30" s="11">
        <f t="shared" si="6"/>
        <v>192932.03377000746</v>
      </c>
      <c r="K30" s="11">
        <f t="shared" si="7"/>
        <v>22128.043383347656</v>
      </c>
      <c r="L30" s="14">
        <f t="shared" si="8"/>
        <v>10</v>
      </c>
    </row>
    <row r="31" spans="1:12" x14ac:dyDescent="0.25">
      <c r="A31" s="14">
        <v>11</v>
      </c>
      <c r="B31" s="11">
        <f t="shared" si="0"/>
        <v>601603.45436034573</v>
      </c>
      <c r="C31" s="11">
        <f t="shared" si="1"/>
        <v>263341.77609246253</v>
      </c>
      <c r="D31" s="11">
        <f t="shared" si="2"/>
        <v>37522.864793761451</v>
      </c>
      <c r="E31" s="11">
        <f t="shared" si="3"/>
        <v>21938.841912102955</v>
      </c>
      <c r="F31" s="11">
        <f>SUM($E$21:E31)</f>
        <v>291474.37436091347</v>
      </c>
      <c r="G31" s="11">
        <f t="shared" si="4"/>
        <v>34084.035123893584</v>
      </c>
      <c r="H31" s="11">
        <f t="shared" si="5"/>
        <v>19928.229425435264</v>
      </c>
      <c r="I31" s="11">
        <f>SUM($H$21:H31)</f>
        <v>234988.30657879039</v>
      </c>
      <c r="J31" s="11">
        <f t="shared" si="6"/>
        <v>206804.48158650345</v>
      </c>
      <c r="K31" s="11">
        <f t="shared" si="7"/>
        <v>28183.824992286944</v>
      </c>
      <c r="L31" s="14">
        <f t="shared" si="8"/>
        <v>11</v>
      </c>
    </row>
    <row r="32" spans="1:12" x14ac:dyDescent="0.25">
      <c r="A32" s="14">
        <v>12</v>
      </c>
      <c r="B32" s="11">
        <f t="shared" si="0"/>
        <v>624344.06493516674</v>
      </c>
      <c r="C32" s="11">
        <f t="shared" si="1"/>
        <v>255957.91254266474</v>
      </c>
      <c r="D32" s="11">
        <f t="shared" si="2"/>
        <v>38037.804424237744</v>
      </c>
      <c r="E32" s="11">
        <f t="shared" si="3"/>
        <v>21180.872808735498</v>
      </c>
      <c r="F32" s="11">
        <f>SUM($E$21:E32)</f>
        <v>312655.247169649</v>
      </c>
      <c r="G32" s="11">
        <f t="shared" si="4"/>
        <v>35300.835177816589</v>
      </c>
      <c r="H32" s="11">
        <f t="shared" si="5"/>
        <v>19656.82591992696</v>
      </c>
      <c r="I32" s="11">
        <f>SUM($H$21:H32)</f>
        <v>254645.13249871734</v>
      </c>
      <c r="J32" s="11">
        <f t="shared" si="6"/>
        <v>220383.54140942203</v>
      </c>
      <c r="K32" s="11">
        <f t="shared" si="7"/>
        <v>34261.591089295311</v>
      </c>
      <c r="L32" s="14">
        <f t="shared" si="8"/>
        <v>12</v>
      </c>
    </row>
    <row r="33" spans="1:12" x14ac:dyDescent="0.25">
      <c r="A33" s="14">
        <v>13</v>
      </c>
      <c r="B33" s="11">
        <f t="shared" si="0"/>
        <v>647944.27058971603</v>
      </c>
      <c r="C33" s="11">
        <f t="shared" si="1"/>
        <v>248091.08820424846</v>
      </c>
      <c r="D33" s="11">
        <f t="shared" si="2"/>
        <v>38572.208772746038</v>
      </c>
      <c r="E33" s="11">
        <f t="shared" si="3"/>
        <v>20455.665853734965</v>
      </c>
      <c r="F33" s="11">
        <f>SUM($E$21:E33)</f>
        <v>333110.91302338394</v>
      </c>
      <c r="G33" s="11">
        <f t="shared" si="4"/>
        <v>36561.074993664639</v>
      </c>
      <c r="H33" s="11">
        <f t="shared" si="5"/>
        <v>19389.11867168414</v>
      </c>
      <c r="I33" s="11">
        <f>SUM($H$21:H33)</f>
        <v>274034.25117040146</v>
      </c>
      <c r="J33" s="11">
        <f t="shared" si="6"/>
        <v>233677.35412422457</v>
      </c>
      <c r="K33" s="11">
        <f t="shared" si="7"/>
        <v>40356.897046176891</v>
      </c>
      <c r="L33" s="14">
        <f t="shared" si="8"/>
        <v>13</v>
      </c>
    </row>
    <row r="34" spans="1:12" x14ac:dyDescent="0.25">
      <c r="A34" s="14">
        <v>14</v>
      </c>
      <c r="B34" s="11">
        <f t="shared" si="0"/>
        <v>672436.56401800737</v>
      </c>
      <c r="C34" s="11">
        <f t="shared" si="1"/>
        <v>239709.71377145662</v>
      </c>
      <c r="D34" s="11">
        <f t="shared" si="2"/>
        <v>39126.813605627947</v>
      </c>
      <c r="E34" s="11">
        <f t="shared" si="3"/>
        <v>19761.699655031724</v>
      </c>
      <c r="F34" s="11">
        <f>SUM($E$21:E34)</f>
        <v>352872.61267841567</v>
      </c>
      <c r="G34" s="11">
        <f t="shared" si="4"/>
        <v>37866.305370938469</v>
      </c>
      <c r="H34" s="11">
        <f t="shared" si="5"/>
        <v>19125.057341203115</v>
      </c>
      <c r="I34" s="11">
        <f>SUM($H$21:H34)</f>
        <v>293159.30851160455</v>
      </c>
      <c r="J34" s="11">
        <f t="shared" si="6"/>
        <v>246693.71775266679</v>
      </c>
      <c r="K34" s="11">
        <f t="shared" si="7"/>
        <v>46465.59075893776</v>
      </c>
      <c r="L34" s="14">
        <f t="shared" si="8"/>
        <v>14</v>
      </c>
    </row>
    <row r="35" spans="1:12" x14ac:dyDescent="0.25">
      <c r="A35" s="14">
        <v>15</v>
      </c>
      <c r="B35" s="11">
        <f t="shared" si="0"/>
        <v>697854.66613788821</v>
      </c>
      <c r="C35" s="11">
        <f t="shared" si="1"/>
        <v>230780.13375787775</v>
      </c>
      <c r="D35" s="11">
        <f t="shared" si="2"/>
        <v>39702.382501192798</v>
      </c>
      <c r="E35" s="11">
        <f t="shared" si="3"/>
        <v>19097.524818021473</v>
      </c>
      <c r="F35" s="11">
        <f>SUM($E$21:E35)</f>
        <v>371970.13749643712</v>
      </c>
      <c r="G35" s="11">
        <f t="shared" si="4"/>
        <v>39218.132472680976</v>
      </c>
      <c r="H35" s="11">
        <f t="shared" si="5"/>
        <v>18864.592274556249</v>
      </c>
      <c r="I35" s="11">
        <f>SUM($H$21:H35)</f>
        <v>312023.90078616078</v>
      </c>
      <c r="J35" s="11">
        <f t="shared" si="6"/>
        <v>259440.10292250101</v>
      </c>
      <c r="K35" s="11">
        <f t="shared" si="7"/>
        <v>52583.797863659769</v>
      </c>
      <c r="L35" s="14">
        <f t="shared" si="8"/>
        <v>15</v>
      </c>
    </row>
    <row r="36" spans="1:12" x14ac:dyDescent="0.25">
      <c r="A36" s="14">
        <v>16</v>
      </c>
      <c r="B36" s="11">
        <f t="shared" si="0"/>
        <v>724233.57251790038</v>
      </c>
      <c r="C36" s="11">
        <f t="shared" si="1"/>
        <v>221266.49135252985</v>
      </c>
      <c r="D36" s="11">
        <f t="shared" si="2"/>
        <v>40299.707901009999</v>
      </c>
      <c r="E36" s="11">
        <f t="shared" si="3"/>
        <v>18461.760522340548</v>
      </c>
      <c r="F36" s="11">
        <f>SUM($E$21:E36)</f>
        <v>390431.89801877766</v>
      </c>
      <c r="G36" s="11">
        <f t="shared" si="4"/>
        <v>40618.219801955682</v>
      </c>
      <c r="H36" s="11">
        <f t="shared" si="5"/>
        <v>18607.674494055147</v>
      </c>
      <c r="I36" s="11">
        <f>SUM($H$21:H36)</f>
        <v>330631.57528021594</v>
      </c>
      <c r="J36" s="11">
        <f t="shared" si="6"/>
        <v>271923.66760554432</v>
      </c>
      <c r="K36" s="11">
        <f t="shared" si="7"/>
        <v>58707.907674671616</v>
      </c>
      <c r="L36" s="14">
        <f t="shared" si="8"/>
        <v>16</v>
      </c>
    </row>
    <row r="37" spans="1:12" x14ac:dyDescent="0.25">
      <c r="A37" s="14">
        <v>17</v>
      </c>
      <c r="B37" s="11">
        <f t="shared" si="0"/>
        <v>751609.60155907704</v>
      </c>
      <c r="C37" s="11">
        <f t="shared" si="1"/>
        <v>211130.58443650475</v>
      </c>
      <c r="D37" s="11">
        <f t="shared" si="2"/>
        <v>40919.612200940275</v>
      </c>
      <c r="E37" s="11">
        <f t="shared" si="3"/>
        <v>17853.091261591064</v>
      </c>
      <c r="F37" s="11">
        <f>SUM($E$21:E37)</f>
        <v>408284.98928036873</v>
      </c>
      <c r="G37" s="11">
        <f t="shared" si="4"/>
        <v>42068.290248885503</v>
      </c>
      <c r="H37" s="11">
        <f t="shared" si="5"/>
        <v>18354.255689040874</v>
      </c>
      <c r="I37" s="11">
        <f>SUM($H$21:H37)</f>
        <v>348985.83096925681</v>
      </c>
      <c r="J37" s="11">
        <f t="shared" si="6"/>
        <v>284151.27115882316</v>
      </c>
      <c r="K37" s="11">
        <f t="shared" si="7"/>
        <v>64834.559810433653</v>
      </c>
      <c r="L37" s="14">
        <f t="shared" si="8"/>
        <v>17</v>
      </c>
    </row>
    <row r="38" spans="1:12" x14ac:dyDescent="0.25">
      <c r="A38" s="14">
        <v>18</v>
      </c>
      <c r="B38" s="11">
        <f t="shared" si="0"/>
        <v>780020.44449801021</v>
      </c>
      <c r="C38" s="11">
        <f t="shared" si="1"/>
        <v>200331.71218200715</v>
      </c>
      <c r="D38" s="11">
        <f t="shared" si="2"/>
        <v>41562.948883407931</v>
      </c>
      <c r="E38" s="11">
        <f t="shared" si="3"/>
        <v>17270.263738257392</v>
      </c>
      <c r="F38" s="11">
        <f>SUM($E$21:E38)</f>
        <v>425555.25301862613</v>
      </c>
      <c r="G38" s="11">
        <f t="shared" si="4"/>
        <v>43570.128210770723</v>
      </c>
      <c r="H38" s="11">
        <f t="shared" si="5"/>
        <v>18104.288206799654</v>
      </c>
      <c r="I38" s="11">
        <f>SUM($H$21:H38)</f>
        <v>367090.11917605647</v>
      </c>
      <c r="J38" s="11">
        <f t="shared" si="6"/>
        <v>296129.48770184972</v>
      </c>
      <c r="K38" s="11">
        <f t="shared" si="7"/>
        <v>70960.631474206748</v>
      </c>
      <c r="L38" s="14">
        <f t="shared" si="8"/>
        <v>18</v>
      </c>
    </row>
    <row r="39" spans="1:12" x14ac:dyDescent="0.25">
      <c r="A39" s="14">
        <v>19</v>
      </c>
      <c r="B39" s="11">
        <f t="shared" si="0"/>
        <v>809505.21730003506</v>
      </c>
      <c r="C39" s="11">
        <f t="shared" si="1"/>
        <v>188826.51161780395</v>
      </c>
      <c r="D39" s="11">
        <f t="shared" si="2"/>
        <v>42230.603692472854</v>
      </c>
      <c r="E39" s="11">
        <f t="shared" si="3"/>
        <v>16712.083906424257</v>
      </c>
      <c r="F39" s="11">
        <f>SUM($E$21:E39)</f>
        <v>442267.33692505036</v>
      </c>
      <c r="G39" s="11">
        <f t="shared" si="4"/>
        <v>45125.581787895237</v>
      </c>
      <c r="H39" s="11">
        <f t="shared" si="5"/>
        <v>17857.725043602284</v>
      </c>
      <c r="I39" s="11">
        <f>SUM($H$21:H39)</f>
        <v>384947.84421965876</v>
      </c>
      <c r="J39" s="11">
        <f t="shared" si="6"/>
        <v>307864.61886151397</v>
      </c>
      <c r="K39" s="11">
        <f t="shared" si="7"/>
        <v>77083.225358144788</v>
      </c>
      <c r="L39" s="14">
        <f t="shared" si="8"/>
        <v>19</v>
      </c>
    </row>
    <row r="40" spans="1:12" x14ac:dyDescent="0.25">
      <c r="A40" s="14">
        <v>20</v>
      </c>
      <c r="B40" s="11">
        <f t="shared" si="0"/>
        <v>840104.51451397629</v>
      </c>
      <c r="C40" s="11">
        <f t="shared" si="1"/>
        <v>176568.78350481484</v>
      </c>
      <c r="D40" s="11">
        <f t="shared" si="2"/>
        <v>42923.495853320448</v>
      </c>
      <c r="E40" s="11">
        <f t="shared" si="3"/>
        <v>16177.41415525933</v>
      </c>
      <c r="F40" s="11">
        <f>SUM($E$21:E40)</f>
        <v>458444.75108030968</v>
      </c>
      <c r="G40" s="11">
        <f t="shared" si="4"/>
        <v>46736.565057723092</v>
      </c>
      <c r="H40" s="11">
        <f t="shared" si="5"/>
        <v>17614.519835865605</v>
      </c>
      <c r="I40" s="11">
        <f>SUM($H$21:H40)</f>
        <v>402562.36405552435</v>
      </c>
      <c r="J40" s="11">
        <f t="shared" si="6"/>
        <v>319362.70591457526</v>
      </c>
      <c r="K40" s="11">
        <f t="shared" si="7"/>
        <v>83199.65814094909</v>
      </c>
      <c r="L40" s="14">
        <f t="shared" si="8"/>
        <v>20</v>
      </c>
    </row>
    <row r="41" spans="1:12" x14ac:dyDescent="0.25">
      <c r="A41" s="14">
        <v>21</v>
      </c>
      <c r="B41" s="11">
        <f t="shared" si="0"/>
        <v>871860.46516260481</v>
      </c>
      <c r="C41" s="11">
        <f t="shared" si="1"/>
        <v>163509.30682263873</v>
      </c>
      <c r="D41" s="11">
        <f t="shared" si="2"/>
        <v>43642.579337848059</v>
      </c>
      <c r="E41" s="11">
        <f t="shared" si="3"/>
        <v>15665.170626557578</v>
      </c>
      <c r="F41" s="11">
        <f>SUM($E$21:E41)</f>
        <v>474109.92170686729</v>
      </c>
      <c r="G41" s="11">
        <f t="shared" si="4"/>
        <v>48405.060430283811</v>
      </c>
      <c r="H41" s="11">
        <f t="shared" si="5"/>
        <v>17374.626851434296</v>
      </c>
      <c r="I41" s="11">
        <f>SUM($H$21:H41)</f>
        <v>419936.99090695864</v>
      </c>
      <c r="J41" s="11">
        <f t="shared" si="6"/>
        <v>330629.5413563074</v>
      </c>
      <c r="K41" s="11">
        <f t="shared" si="7"/>
        <v>89307.449550651247</v>
      </c>
      <c r="L41" s="14">
        <f t="shared" si="8"/>
        <v>21</v>
      </c>
    </row>
    <row r="42" spans="1:12" x14ac:dyDescent="0.25">
      <c r="A42" s="14">
        <v>22</v>
      </c>
      <c r="B42" s="11">
        <f t="shared" si="0"/>
        <v>904816.79074575135</v>
      </c>
      <c r="C42" s="11">
        <f t="shared" si="1"/>
        <v>149595.64112209389</v>
      </c>
      <c r="D42" s="11">
        <f t="shared" si="2"/>
        <v>44388.844178090832</v>
      </c>
      <c r="E42" s="11">
        <f t="shared" si="3"/>
        <v>15174.320659964498</v>
      </c>
      <c r="F42" s="11">
        <f>SUM($E$21:E42)</f>
        <v>489284.24236683181</v>
      </c>
      <c r="G42" s="11">
        <f t="shared" si="4"/>
        <v>50133.121087644955</v>
      </c>
      <c r="H42" s="11">
        <f t="shared" si="5"/>
        <v>17138.000980981433</v>
      </c>
      <c r="I42" s="11">
        <f>SUM($H$21:H42)</f>
        <v>437074.99188794009</v>
      </c>
      <c r="J42" s="11">
        <f t="shared" si="6"/>
        <v>341670.67992250086</v>
      </c>
      <c r="K42" s="11">
        <f t="shared" si="7"/>
        <v>95404.311965439236</v>
      </c>
      <c r="L42" s="14">
        <f t="shared" si="8"/>
        <v>22</v>
      </c>
    </row>
    <row r="43" spans="1:12" x14ac:dyDescent="0.25">
      <c r="A43" s="14">
        <v>23</v>
      </c>
      <c r="B43" s="11">
        <f t="shared" si="0"/>
        <v>939018.8654359408</v>
      </c>
      <c r="C43" s="11">
        <f t="shared" si="1"/>
        <v>134771.91595010972</v>
      </c>
      <c r="D43" s="11">
        <f t="shared" si="2"/>
        <v>45163.317829294778</v>
      </c>
      <c r="E43" s="11">
        <f t="shared" si="3"/>
        <v>14703.880359798617</v>
      </c>
      <c r="F43" s="11">
        <f>SUM($E$21:E43)</f>
        <v>503988.12272663042</v>
      </c>
      <c r="G43" s="11">
        <f t="shared" si="4"/>
        <v>51922.873510473873</v>
      </c>
      <c r="H43" s="11">
        <f t="shared" si="5"/>
        <v>16904.597729526158</v>
      </c>
      <c r="I43" s="11">
        <f>SUM($H$21:H43)</f>
        <v>453979.58961746626</v>
      </c>
      <c r="J43" s="11">
        <f t="shared" si="6"/>
        <v>352491.44909071684</v>
      </c>
      <c r="K43" s="11">
        <f t="shared" si="7"/>
        <v>101488.14052674943</v>
      </c>
      <c r="L43" s="14">
        <f t="shared" si="8"/>
        <v>23</v>
      </c>
    </row>
    <row r="44" spans="1:12" x14ac:dyDescent="0.25">
      <c r="A44" s="14">
        <v>24</v>
      </c>
      <c r="B44" s="11">
        <f t="shared" si="0"/>
        <v>974513.77854941937</v>
      </c>
      <c r="C44" s="11">
        <f t="shared" si="1"/>
        <v>118978.60650140606</v>
      </c>
      <c r="D44" s="11">
        <f t="shared" si="2"/>
        <v>45967.066584514228</v>
      </c>
      <c r="E44" s="11">
        <f t="shared" si="3"/>
        <v>14252.912277683767</v>
      </c>
      <c r="F44" s="11">
        <f>SUM($E$21:E44)</f>
        <v>518241.03500431421</v>
      </c>
      <c r="G44" s="11">
        <f t="shared" si="4"/>
        <v>53776.520094797779</v>
      </c>
      <c r="H44" s="11">
        <f t="shared" si="5"/>
        <v>16674.373208066892</v>
      </c>
      <c r="I44" s="11">
        <f>SUM($H$21:H44)</f>
        <v>470653.96282553318</v>
      </c>
      <c r="J44" s="11">
        <f t="shared" si="6"/>
        <v>363096.95908546727</v>
      </c>
      <c r="K44" s="11">
        <f t="shared" si="7"/>
        <v>107557.00374006591</v>
      </c>
      <c r="L44" s="14">
        <f t="shared" si="8"/>
        <v>24</v>
      </c>
    </row>
    <row r="45" spans="1:12" x14ac:dyDescent="0.25">
      <c r="A45" s="14">
        <v>25</v>
      </c>
      <c r="B45" s="11">
        <f t="shared" si="0"/>
        <v>1011350.3993785875</v>
      </c>
      <c r="C45" s="11">
        <f t="shared" si="1"/>
        <v>102152.29459608835</v>
      </c>
      <c r="D45" s="11">
        <f t="shared" si="2"/>
        <v>46801.197042680971</v>
      </c>
      <c r="E45" s="11">
        <f t="shared" si="3"/>
        <v>13820.523205476798</v>
      </c>
      <c r="F45" s="11">
        <f>SUM($E$21:E45)</f>
        <v>532061.55820979096</v>
      </c>
      <c r="G45" s="11">
        <f t="shared" si="4"/>
        <v>55696.341862182075</v>
      </c>
      <c r="H45" s="11">
        <f t="shared" si="5"/>
        <v>16447.284125328464</v>
      </c>
      <c r="I45" s="11">
        <f>SUM($H$21:H45)</f>
        <v>487101.24695086165</v>
      </c>
      <c r="J45" s="11">
        <f t="shared" si="6"/>
        <v>373492.11241081479</v>
      </c>
      <c r="K45" s="11">
        <f t="shared" si="7"/>
        <v>113609.13454004686</v>
      </c>
      <c r="L45" s="14">
        <f t="shared" si="8"/>
        <v>25</v>
      </c>
    </row>
    <row r="46" spans="1:12" x14ac:dyDescent="0.25">
      <c r="A46" s="14">
        <v>26</v>
      </c>
      <c r="B46" s="11">
        <f t="shared" si="0"/>
        <v>1049579.444475098</v>
      </c>
      <c r="C46" s="11">
        <f t="shared" si="1"/>
        <v>84225.414023361169</v>
      </c>
      <c r="D46" s="11">
        <f t="shared" si="2"/>
        <v>47666.85763216643</v>
      </c>
      <c r="E46" s="11">
        <f t="shared" si="3"/>
        <v>13405.862073239401</v>
      </c>
      <c r="F46" s="11">
        <f>SUM($E$21:E46)</f>
        <v>545467.42028303037</v>
      </c>
      <c r="G46" s="11">
        <f t="shared" si="4"/>
        <v>57684.701266661985</v>
      </c>
      <c r="H46" s="11">
        <f t="shared" si="5"/>
        <v>16223.287779621611</v>
      </c>
      <c r="I46" s="11">
        <f>SUM($H$21:H46)</f>
        <v>503324.53473048325</v>
      </c>
      <c r="J46" s="11">
        <f t="shared" si="6"/>
        <v>383681.61293276935</v>
      </c>
      <c r="K46" s="11">
        <f t="shared" si="7"/>
        <v>119642.92179771391</v>
      </c>
      <c r="L46" s="14">
        <f t="shared" si="8"/>
        <v>26</v>
      </c>
    </row>
    <row r="47" spans="1:12" x14ac:dyDescent="0.25">
      <c r="A47" s="14">
        <v>27</v>
      </c>
      <c r="B47" s="11">
        <f t="shared" si="0"/>
        <v>1089253.547476257</v>
      </c>
      <c r="C47" s="11">
        <f t="shared" si="1"/>
        <v>65125.979228784796</v>
      </c>
      <c r="D47" s="11">
        <f t="shared" si="2"/>
        <v>48565.240191934427</v>
      </c>
      <c r="E47" s="11">
        <f t="shared" si="3"/>
        <v>13008.117947252418</v>
      </c>
      <c r="F47" s="11">
        <f>SUM($E$21:E47)</f>
        <v>558475.53823028284</v>
      </c>
      <c r="G47" s="11">
        <f t="shared" si="4"/>
        <v>59744.045101881813</v>
      </c>
      <c r="H47" s="11">
        <f t="shared" si="5"/>
        <v>16002.342050813428</v>
      </c>
      <c r="I47" s="11">
        <f>SUM($H$21:H47)</f>
        <v>519326.87678129668</v>
      </c>
      <c r="J47" s="11">
        <f t="shared" si="6"/>
        <v>393669.9745327899</v>
      </c>
      <c r="K47" s="11">
        <f t="shared" si="7"/>
        <v>125656.90224850678</v>
      </c>
      <c r="L47" s="14">
        <f t="shared" si="8"/>
        <v>27</v>
      </c>
    </row>
    <row r="48" spans="1:12" x14ac:dyDescent="0.25">
      <c r="A48" s="14">
        <v>28</v>
      </c>
      <c r="B48" s="11">
        <f t="shared" si="0"/>
        <v>1130427.3315708593</v>
      </c>
      <c r="C48" s="11">
        <f t="shared" si="1"/>
        <v>44777.296255616238</v>
      </c>
      <c r="D48" s="11">
        <f t="shared" si="2"/>
        <v>49497.581612461654</v>
      </c>
      <c r="E48" s="11">
        <f t="shared" si="3"/>
        <v>12626.518123309457</v>
      </c>
      <c r="F48" s="11">
        <f>SUM($E$21:E48)</f>
        <v>571102.05635359231</v>
      </c>
      <c r="G48" s="11">
        <f t="shared" si="4"/>
        <v>61876.907512018995</v>
      </c>
      <c r="H48" s="11">
        <f t="shared" si="5"/>
        <v>15784.405392407116</v>
      </c>
      <c r="I48" s="11">
        <f>SUM($H$21:H48)</f>
        <v>535111.28217370377</v>
      </c>
      <c r="J48" s="11">
        <f t="shared" si="6"/>
        <v>403461.52935269155</v>
      </c>
      <c r="K48" s="11">
        <f t="shared" si="7"/>
        <v>131649.75282101223</v>
      </c>
      <c r="L48" s="14">
        <f t="shared" si="8"/>
        <v>28</v>
      </c>
    </row>
    <row r="49" spans="1:12" x14ac:dyDescent="0.25">
      <c r="A49" s="14">
        <v>29</v>
      </c>
      <c r="B49" s="11">
        <f t="shared" si="0"/>
        <v>1173157.4847042379</v>
      </c>
      <c r="C49" s="11">
        <f t="shared" si="1"/>
        <v>23097.654779518954</v>
      </c>
      <c r="D49" s="11">
        <f t="shared" si="2"/>
        <v>50465.165538684814</v>
      </c>
      <c r="E49" s="11">
        <f t="shared" si="3"/>
        <v>12260.326310753244</v>
      </c>
      <c r="F49" s="11">
        <f>SUM($E$21:E49)</f>
        <v>583362.38266434555</v>
      </c>
      <c r="G49" s="11">
        <f t="shared" si="4"/>
        <v>64085.913110198082</v>
      </c>
      <c r="H49" s="11">
        <f t="shared" si="5"/>
        <v>15569.436823729569</v>
      </c>
      <c r="I49" s="11">
        <f>SUM($H$21:H49)</f>
        <v>550680.71899743332</v>
      </c>
      <c r="J49" s="11">
        <f t="shared" si="6"/>
        <v>413060.43565028609</v>
      </c>
      <c r="K49" s="11">
        <f t="shared" si="7"/>
        <v>137620.28334714723</v>
      </c>
      <c r="L49" s="14">
        <f t="shared" si="8"/>
        <v>29</v>
      </c>
    </row>
    <row r="50" spans="1:12" x14ac:dyDescent="0.25">
      <c r="A50" s="14">
        <v>30</v>
      </c>
      <c r="B50" s="11">
        <f t="shared" si="0"/>
        <v>1217502.8376260584</v>
      </c>
      <c r="C50" s="11">
        <f t="shared" si="1"/>
        <v>0</v>
      </c>
      <c r="D50" s="11">
        <f t="shared" si="2"/>
        <v>51469.324137319214</v>
      </c>
      <c r="E50" s="11">
        <f t="shared" si="3"/>
        <v>11908.840902934297</v>
      </c>
      <c r="F50" s="11">
        <f>SUM($E$21:E50)</f>
        <v>595271.22356727987</v>
      </c>
      <c r="G50" s="11">
        <f t="shared" si="4"/>
        <v>66373.780208232158</v>
      </c>
      <c r="H50" s="11">
        <f t="shared" si="5"/>
        <v>15357.395922225449</v>
      </c>
      <c r="I50" s="11">
        <f>SUM($H$21:H50)</f>
        <v>566038.11491965875</v>
      </c>
      <c r="J50" s="11">
        <f t="shared" si="6"/>
        <v>422470.68528416601</v>
      </c>
      <c r="K50" s="11">
        <f t="shared" si="7"/>
        <v>143567.42963549274</v>
      </c>
      <c r="L50" s="14">
        <f t="shared" si="8"/>
        <v>30</v>
      </c>
    </row>
  </sheetData>
  <mergeCells count="1">
    <mergeCell ref="A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Summary</vt:lpstr>
      <vt:lpstr>S01</vt:lpstr>
      <vt:lpstr>S02</vt:lpstr>
      <vt:lpstr>S03</vt:lpstr>
      <vt:lpstr>S04</vt:lpstr>
      <vt:lpstr>S05</vt:lpstr>
      <vt:lpstr>S06</vt:lpstr>
      <vt:lpstr>S07</vt:lpstr>
      <vt:lpstr>S08</vt:lpstr>
      <vt:lpstr>S09</vt:lpstr>
      <vt:lpstr>S10</vt:lpstr>
      <vt:lpstr>S11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hiranya dissanayake</cp:lastModifiedBy>
  <dcterms:created xsi:type="dcterms:W3CDTF">2026-10-02T19:37:00Z</dcterms:created>
  <dcterms:modified xsi:type="dcterms:W3CDTF">2026-10-02T19:37:03Z</dcterms:modified>
</cp:coreProperties>
</file>